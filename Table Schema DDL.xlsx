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mcrealestate-my.sharepoint.com/personal/ali_mmcrealestate_com/Documents/Desktop/MMCR/Data Providers/CoreLogic/airflow-docker/"/>
    </mc:Choice>
  </mc:AlternateContent>
  <xr:revisionPtr revIDLastSave="110" documentId="8_{B330EE7A-DAC6-43A0-A162-7AA39DF3F6B7}" xr6:coauthVersionLast="47" xr6:coauthVersionMax="47" xr10:uidLastSave="{3730B726-C9A6-4CAB-9CBC-B8186C07F942}"/>
  <bookViews>
    <workbookView xWindow="-120" yWindow="-120" windowWidth="29040" windowHeight="15840" xr2:uid="{9B29FFDA-C6C3-4673-9E65-6BC2104CD692}"/>
  </bookViews>
  <sheets>
    <sheet name="Postgres Query Construct" sheetId="4" r:id="rId1"/>
    <sheet name="PostGres Mapping" sheetId="3" r:id="rId2"/>
    <sheet name="HSA mapping" sheetId="1" r:id="rId3"/>
    <sheet name="FCL mapping" sheetId="2" r:id="rId4"/>
  </sheets>
  <definedNames>
    <definedName name="_xlnm._FilterDatabase" localSheetId="3" hidden="1">'FCL mapping'!$B$1:$I$62</definedName>
    <definedName name="_xlnm._FilterDatabase" localSheetId="2" hidden="1">'HSA mapping'!$B$2:$H$233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4" l="1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8" i="4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1" i="3"/>
  <c r="E3" i="1"/>
  <c r="E4" i="1"/>
  <c r="E5" i="1"/>
  <c r="J5" i="1" s="1"/>
  <c r="E6" i="1"/>
  <c r="J6" i="1" s="1"/>
  <c r="E7" i="1"/>
  <c r="E8" i="1"/>
  <c r="E9" i="1"/>
  <c r="E10" i="1"/>
  <c r="E11" i="1"/>
  <c r="E12" i="1"/>
  <c r="J12" i="1" s="1"/>
  <c r="E13" i="1"/>
  <c r="J13" i="1" s="1"/>
  <c r="E14" i="1"/>
  <c r="J14" i="1" s="1"/>
  <c r="E15" i="1"/>
  <c r="E16" i="1"/>
  <c r="E17" i="1"/>
  <c r="J17" i="1" s="1"/>
  <c r="E18" i="1"/>
  <c r="J18" i="1" s="1"/>
  <c r="E19" i="1"/>
  <c r="E20" i="1"/>
  <c r="E21" i="1"/>
  <c r="E22" i="1"/>
  <c r="E23" i="1"/>
  <c r="E24" i="1"/>
  <c r="J24" i="1" s="1"/>
  <c r="E25" i="1"/>
  <c r="J25" i="1" s="1"/>
  <c r="E26" i="1"/>
  <c r="J26" i="1" s="1"/>
  <c r="E27" i="1"/>
  <c r="E28" i="1"/>
  <c r="E29" i="1"/>
  <c r="J29" i="1" s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J48" i="1" s="1"/>
  <c r="E49" i="1"/>
  <c r="J49" i="1" s="1"/>
  <c r="E50" i="1"/>
  <c r="J50" i="1" s="1"/>
  <c r="E51" i="1"/>
  <c r="E52" i="1"/>
  <c r="E53" i="1"/>
  <c r="E54" i="1"/>
  <c r="E55" i="1"/>
  <c r="E56" i="1"/>
  <c r="E57" i="1"/>
  <c r="E58" i="1"/>
  <c r="E59" i="1"/>
  <c r="E60" i="1"/>
  <c r="E61" i="1"/>
  <c r="E62" i="1"/>
  <c r="J62" i="1" s="1"/>
  <c r="E63" i="1"/>
  <c r="E64" i="1"/>
  <c r="E65" i="1"/>
  <c r="E66" i="1"/>
  <c r="J66" i="1" s="1"/>
  <c r="E67" i="1"/>
  <c r="E68" i="1"/>
  <c r="E69" i="1"/>
  <c r="E70" i="1"/>
  <c r="E71" i="1"/>
  <c r="E72" i="1"/>
  <c r="J72" i="1" s="1"/>
  <c r="E73" i="1"/>
  <c r="J73" i="1" s="1"/>
  <c r="E74" i="1"/>
  <c r="J74" i="1" s="1"/>
  <c r="E75" i="1"/>
  <c r="E76" i="1"/>
  <c r="E77" i="1"/>
  <c r="E78" i="1"/>
  <c r="E79" i="1"/>
  <c r="E80" i="1"/>
  <c r="E81" i="1"/>
  <c r="E82" i="1"/>
  <c r="E83" i="1"/>
  <c r="E84" i="1"/>
  <c r="J84" i="1" s="1"/>
  <c r="E85" i="1"/>
  <c r="J85" i="1" s="1"/>
  <c r="E86" i="1"/>
  <c r="J86" i="1" s="1"/>
  <c r="E87" i="1"/>
  <c r="E88" i="1"/>
  <c r="E89" i="1"/>
  <c r="E90" i="1"/>
  <c r="J90" i="1" s="1"/>
  <c r="E91" i="1"/>
  <c r="E92" i="1"/>
  <c r="E93" i="1"/>
  <c r="E94" i="1"/>
  <c r="E95" i="1"/>
  <c r="E96" i="1"/>
  <c r="J96" i="1" s="1"/>
  <c r="E97" i="1"/>
  <c r="J97" i="1" s="1"/>
  <c r="E98" i="1"/>
  <c r="J98" i="1" s="1"/>
  <c r="E99" i="1"/>
  <c r="E100" i="1"/>
  <c r="E101" i="1"/>
  <c r="J101" i="1" s="1"/>
  <c r="E102" i="1"/>
  <c r="E103" i="1"/>
  <c r="E104" i="1"/>
  <c r="E105" i="1"/>
  <c r="E106" i="1"/>
  <c r="E107" i="1"/>
  <c r="E108" i="1"/>
  <c r="J108" i="1" s="1"/>
  <c r="E109" i="1"/>
  <c r="J109" i="1" s="1"/>
  <c r="E110" i="1"/>
  <c r="J110" i="1" s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J132" i="1" s="1"/>
  <c r="E133" i="1"/>
  <c r="J133" i="1" s="1"/>
  <c r="E134" i="1"/>
  <c r="J134" i="1" s="1"/>
  <c r="E135" i="1"/>
  <c r="E136" i="1"/>
  <c r="E137" i="1"/>
  <c r="E138" i="1"/>
  <c r="E139" i="1"/>
  <c r="J139" i="1" s="1"/>
  <c r="E140" i="1"/>
  <c r="E141" i="1"/>
  <c r="E142" i="1"/>
  <c r="E143" i="1"/>
  <c r="E144" i="1"/>
  <c r="E145" i="1"/>
  <c r="J145" i="1" s="1"/>
  <c r="E146" i="1"/>
  <c r="J146" i="1" s="1"/>
  <c r="E147" i="1"/>
  <c r="E148" i="1"/>
  <c r="E149" i="1"/>
  <c r="J149" i="1" s="1"/>
  <c r="E150" i="1"/>
  <c r="E151" i="1"/>
  <c r="E152" i="1"/>
  <c r="E153" i="1"/>
  <c r="E154" i="1"/>
  <c r="E155" i="1"/>
  <c r="E156" i="1"/>
  <c r="J156" i="1" s="1"/>
  <c r="E157" i="1"/>
  <c r="J157" i="1" s="1"/>
  <c r="E158" i="1"/>
  <c r="J158" i="1" s="1"/>
  <c r="E159" i="1"/>
  <c r="E160" i="1"/>
  <c r="E161" i="1"/>
  <c r="E162" i="1"/>
  <c r="J162" i="1" s="1"/>
  <c r="E163" i="1"/>
  <c r="E164" i="1"/>
  <c r="E165" i="1"/>
  <c r="E166" i="1"/>
  <c r="E167" i="1"/>
  <c r="E168" i="1"/>
  <c r="J168" i="1" s="1"/>
  <c r="E169" i="1"/>
  <c r="J169" i="1" s="1"/>
  <c r="E170" i="1"/>
  <c r="J170" i="1" s="1"/>
  <c r="E171" i="1"/>
  <c r="E172" i="1"/>
  <c r="E173" i="1"/>
  <c r="J173" i="1" s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J192" i="1" s="1"/>
  <c r="E193" i="1"/>
  <c r="J193" i="1" s="1"/>
  <c r="E194" i="1"/>
  <c r="J194" i="1" s="1"/>
  <c r="E195" i="1"/>
  <c r="E196" i="1"/>
  <c r="E197" i="1"/>
  <c r="E198" i="1"/>
  <c r="E199" i="1"/>
  <c r="E200" i="1"/>
  <c r="E201" i="1"/>
  <c r="E202" i="1"/>
  <c r="E203" i="1"/>
  <c r="E204" i="1"/>
  <c r="E205" i="1"/>
  <c r="E206" i="1"/>
  <c r="J206" i="1" s="1"/>
  <c r="E207" i="1"/>
  <c r="E208" i="1"/>
  <c r="E209" i="1"/>
  <c r="E210" i="1"/>
  <c r="J210" i="1" s="1"/>
  <c r="E211" i="1"/>
  <c r="E212" i="1"/>
  <c r="E213" i="1"/>
  <c r="E214" i="1"/>
  <c r="E215" i="1"/>
  <c r="E216" i="1"/>
  <c r="J216" i="1" s="1"/>
  <c r="E217" i="1"/>
  <c r="J217" i="1" s="1"/>
  <c r="E218" i="1"/>
  <c r="J218" i="1" s="1"/>
  <c r="E219" i="1"/>
  <c r="E220" i="1"/>
  <c r="E221" i="1"/>
  <c r="E222" i="1"/>
  <c r="E223" i="1"/>
  <c r="E224" i="1"/>
  <c r="E225" i="1"/>
  <c r="E226" i="1"/>
  <c r="E227" i="1"/>
  <c r="E228" i="1"/>
  <c r="J228" i="1" s="1"/>
  <c r="E229" i="1"/>
  <c r="J229" i="1" s="1"/>
  <c r="E230" i="1"/>
  <c r="J230" i="1" s="1"/>
  <c r="E231" i="1"/>
  <c r="E232" i="1"/>
  <c r="E233" i="1"/>
  <c r="J3" i="1"/>
  <c r="J4" i="1"/>
  <c r="J8" i="1"/>
  <c r="J15" i="1"/>
  <c r="J16" i="1"/>
  <c r="J27" i="1"/>
  <c r="J28" i="1"/>
  <c r="J30" i="1"/>
  <c r="J32" i="1"/>
  <c r="J37" i="1"/>
  <c r="J38" i="1"/>
  <c r="J39" i="1"/>
  <c r="J40" i="1"/>
  <c r="J41" i="1"/>
  <c r="J42" i="1"/>
  <c r="J51" i="1"/>
  <c r="J52" i="1"/>
  <c r="J53" i="1"/>
  <c r="J54" i="1"/>
  <c r="J56" i="1"/>
  <c r="J61" i="1"/>
  <c r="J63" i="1"/>
  <c r="J64" i="1"/>
  <c r="J65" i="1"/>
  <c r="J75" i="1"/>
  <c r="J76" i="1"/>
  <c r="J77" i="1"/>
  <c r="J78" i="1"/>
  <c r="J80" i="1"/>
  <c r="J87" i="1"/>
  <c r="J88" i="1"/>
  <c r="J89" i="1"/>
  <c r="J99" i="1"/>
  <c r="J100" i="1"/>
  <c r="J102" i="1"/>
  <c r="J104" i="1"/>
  <c r="J111" i="1"/>
  <c r="J112" i="1"/>
  <c r="J113" i="1"/>
  <c r="J114" i="1"/>
  <c r="J120" i="1"/>
  <c r="J121" i="1"/>
  <c r="J122" i="1"/>
  <c r="J123" i="1"/>
  <c r="J124" i="1"/>
  <c r="J125" i="1"/>
  <c r="J126" i="1"/>
  <c r="J128" i="1"/>
  <c r="J135" i="1"/>
  <c r="J136" i="1"/>
  <c r="J137" i="1"/>
  <c r="J138" i="1"/>
  <c r="J144" i="1"/>
  <c r="J147" i="1"/>
  <c r="J148" i="1"/>
  <c r="J150" i="1"/>
  <c r="J152" i="1"/>
  <c r="J159" i="1"/>
  <c r="J160" i="1"/>
  <c r="J161" i="1"/>
  <c r="J171" i="1"/>
  <c r="J172" i="1"/>
  <c r="J174" i="1"/>
  <c r="J176" i="1"/>
  <c r="J181" i="1"/>
  <c r="J182" i="1"/>
  <c r="J183" i="1"/>
  <c r="J184" i="1"/>
  <c r="J185" i="1"/>
  <c r="J186" i="1"/>
  <c r="J195" i="1"/>
  <c r="J196" i="1"/>
  <c r="J197" i="1"/>
  <c r="J198" i="1"/>
  <c r="J200" i="1"/>
  <c r="J205" i="1"/>
  <c r="J207" i="1"/>
  <c r="J208" i="1"/>
  <c r="J209" i="1"/>
  <c r="J219" i="1"/>
  <c r="J220" i="1"/>
  <c r="J221" i="1"/>
  <c r="J222" i="1"/>
  <c r="J224" i="1"/>
  <c r="J231" i="1"/>
  <c r="J232" i="1"/>
  <c r="J233" i="1"/>
  <c r="E2" i="1"/>
  <c r="J2" i="1" s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1" i="2"/>
  <c r="J7" i="1"/>
  <c r="J9" i="1"/>
  <c r="J10" i="1"/>
  <c r="J11" i="1"/>
  <c r="J19" i="1"/>
  <c r="J20" i="1"/>
  <c r="J21" i="1"/>
  <c r="J22" i="1"/>
  <c r="J23" i="1"/>
  <c r="J31" i="1"/>
  <c r="J33" i="1"/>
  <c r="J34" i="1"/>
  <c r="J35" i="1"/>
  <c r="J36" i="1"/>
  <c r="J43" i="1"/>
  <c r="J44" i="1"/>
  <c r="J45" i="1"/>
  <c r="J46" i="1"/>
  <c r="J47" i="1"/>
  <c r="J55" i="1"/>
  <c r="J57" i="1"/>
  <c r="J58" i="1"/>
  <c r="J59" i="1"/>
  <c r="J60" i="1"/>
  <c r="J67" i="1"/>
  <c r="J68" i="1"/>
  <c r="J69" i="1"/>
  <c r="J70" i="1"/>
  <c r="J71" i="1"/>
  <c r="J79" i="1"/>
  <c r="J81" i="1"/>
  <c r="J82" i="1"/>
  <c r="J83" i="1"/>
  <c r="J91" i="1"/>
  <c r="J92" i="1"/>
  <c r="J93" i="1"/>
  <c r="J94" i="1"/>
  <c r="J95" i="1"/>
  <c r="J103" i="1"/>
  <c r="J105" i="1"/>
  <c r="J106" i="1"/>
  <c r="J107" i="1"/>
  <c r="J115" i="1"/>
  <c r="J116" i="1"/>
  <c r="J117" i="1"/>
  <c r="J118" i="1"/>
  <c r="J119" i="1"/>
  <c r="J127" i="1"/>
  <c r="J129" i="1"/>
  <c r="J130" i="1"/>
  <c r="J131" i="1"/>
  <c r="J140" i="1"/>
  <c r="J141" i="1"/>
  <c r="J142" i="1"/>
  <c r="J143" i="1"/>
  <c r="J151" i="1"/>
  <c r="J153" i="1"/>
  <c r="J154" i="1"/>
  <c r="J155" i="1"/>
  <c r="J163" i="1"/>
  <c r="J164" i="1"/>
  <c r="J165" i="1"/>
  <c r="J166" i="1"/>
  <c r="J167" i="1"/>
  <c r="J175" i="1"/>
  <c r="J177" i="1"/>
  <c r="J178" i="1"/>
  <c r="J179" i="1"/>
  <c r="J180" i="1"/>
  <c r="J187" i="1"/>
  <c r="J188" i="1"/>
  <c r="J189" i="1"/>
  <c r="J190" i="1"/>
  <c r="J191" i="1"/>
  <c r="J199" i="1"/>
  <c r="J201" i="1"/>
  <c r="J202" i="1"/>
  <c r="J203" i="1"/>
  <c r="J204" i="1"/>
  <c r="J211" i="1"/>
  <c r="J212" i="1"/>
  <c r="J213" i="1"/>
  <c r="J214" i="1"/>
  <c r="J215" i="1"/>
  <c r="J223" i="1"/>
  <c r="J225" i="1"/>
  <c r="J226" i="1"/>
  <c r="J227" i="1"/>
</calcChain>
</file>

<file path=xl/sharedStrings.xml><?xml version="1.0" encoding="utf-8"?>
<sst xmlns="http://schemas.openxmlformats.org/spreadsheetml/2006/main" count="3137" uniqueCount="534">
  <si>
    <t>LOCATION_AGGREGATE</t>
  </si>
  <si>
    <t>varchar(50)</t>
  </si>
  <si>
    <t>LOCATION_CODE</t>
  </si>
  <si>
    <t>TIME_PERIOD</t>
  </si>
  <si>
    <t>LOCATION_CITY</t>
  </si>
  <si>
    <t>LOCATION_COUNTY</t>
  </si>
  <si>
    <t>LOCATION_CBSA</t>
  </si>
  <si>
    <t>LOCATION_STATE</t>
  </si>
  <si>
    <t>"</t>
  </si>
  <si>
    <t xml:space="preserve">": </t>
  </si>
  <si>
    <t>FORECLOSURE_TOTAL_FILINGS</t>
  </si>
  <si>
    <t>FORECLOSURE_TRUSTEES_DEED</t>
  </si>
  <si>
    <t>FORECLOSURE_OTHER</t>
  </si>
  <si>
    <t>PRE_FORCLOSURE_TOTAL_FILINGS</t>
  </si>
  <si>
    <t>PRE_FORECLOSURE_NOTICE_OF_DEFAULT</t>
  </si>
  <si>
    <t>PRE_FORECLOSURE_NOTICE_OF_FORECLOSURE</t>
  </si>
  <si>
    <t>PRE_FORECLOSURE_NOTICE_OF_SALE</t>
  </si>
  <si>
    <t>PRE_FORECLOSURE_NOTICE_OF_TRUSTEES_SALE</t>
  </si>
  <si>
    <t>PRE_FORECLOSURE_LIS_PENDENS</t>
  </si>
  <si>
    <t>PRE_FORECLOSURE_FINAL_JUDGEMENT</t>
  </si>
  <si>
    <t>PRE_FORECLOSURE_OTHER</t>
  </si>
  <si>
    <t>CONDO_FORECLOSURE_TOTAL_FILINGS</t>
  </si>
  <si>
    <t>CONDO_FORECLOSURE_TRUSTEES_DEED</t>
  </si>
  <si>
    <t>CONDO_FORECLOSURE_OTHER</t>
  </si>
  <si>
    <t>CONDO_PRE_FORCLOSURE_TOTAL_FILINGS</t>
  </si>
  <si>
    <t>CONDO_PRE_FORECLOSURE_NOTICE_OF_DEFAULT</t>
  </si>
  <si>
    <t>CONDO_PRE_FORECLOSURE_NOTICE_OF_FORECLOSURE</t>
  </si>
  <si>
    <t>CONDO_PRE_FORECLOSURE_NOTICE_OF_SALE</t>
  </si>
  <si>
    <t>CONDO_PRE_FORECLOSURE_NOTICE_OF_TRUSTEES_SALE</t>
  </si>
  <si>
    <t>CONDO_PRE_FORECLOSURE_LIS_PENDENS</t>
  </si>
  <si>
    <t>CONDO_PRE_FORECLOSURE_FINAL_JUDGEMENT</t>
  </si>
  <si>
    <t>CONDO_PRE_FORECLOSURE_OTHER</t>
  </si>
  <si>
    <t>SFR_ATTACHED_FORECLOSURE_TOTAL_FILINGS</t>
  </si>
  <si>
    <t>SFR_ATTACHED_FORECLOSURE_TRUSTEES_DEED</t>
  </si>
  <si>
    <t>SFR_ATTACHED_FORECLOSURE_OTHER</t>
  </si>
  <si>
    <t>SFR_ATTACHED_PRE_FORCLOSURE_TOTAL_FILINGS</t>
  </si>
  <si>
    <t>SFR_ATTACHED_PRE_FORECLOSURE_NOTICE_OF_DEFAULT</t>
  </si>
  <si>
    <t>SFR_ATTACHED_PRE_FORECLOSURE_NOTICE_OF_FORECLOSURE</t>
  </si>
  <si>
    <t>SFR_ATTACHED_PRE_FORECLOSURE_NOTICE_OF_SALE</t>
  </si>
  <si>
    <t>SFR_ATTACHED_PRE_FORECLOSURE_NOTICE_OF_TRUSTEES_SALE</t>
  </si>
  <si>
    <t>SFR_ATTACHED_PRE_FORECLOSURE_LIS_PENDENS</t>
  </si>
  <si>
    <t>SFR_ATTACHED_PRE_FORECLOSURE_FINAL_JUDGEMENT</t>
  </si>
  <si>
    <t>SFR_ATTACHED_PRE_FORECLOSURE_OTHER</t>
  </si>
  <si>
    <t>SFR_DETACHED_FORECLOSURE_TOTAL_FILINGS</t>
  </si>
  <si>
    <t>SFR_DETACHED_FORECLOSURE_TRUSTEES_DEED</t>
  </si>
  <si>
    <t>SFR_DETACHED_FORECLOSURE_OTHER</t>
  </si>
  <si>
    <t>SFR_DETACHED_PRE_FORCLOSURE_TOTAL_FILINGS</t>
  </si>
  <si>
    <t>SFR_DETACHED_PRE_FORECLOSURE_NOTICE_OF_DEFAULT</t>
  </si>
  <si>
    <t>SFR_DETACHED_PRE_FORECLOSURE_NOTICE_OF_FORECLOSURE</t>
  </si>
  <si>
    <t>SFR_DETACHED_PRE_FORECLOSURE_NOTICE_OF_SALE</t>
  </si>
  <si>
    <t>SFR_DETACHED_PRE_FORECLOSURE_NOTICE_OF_TRUSTEES_SALE</t>
  </si>
  <si>
    <t>SFR_DETACHED_PRE_FORECLOSURE_LIS_PENDENS</t>
  </si>
  <si>
    <t>SFR_DETACHED_PRE_FORECLOSURE_FINAL_JUDGEMENT</t>
  </si>
  <si>
    <t>SFR_DETACHED_PRE_FORECLOSURE_OTHER</t>
  </si>
  <si>
    <t>MULTI_FAMILY_FORECLOSURE_TOTAL_FILINGS</t>
  </si>
  <si>
    <t>MULTI_FAMILY_FORECLOSURE_TRUSTEES_DEED</t>
  </si>
  <si>
    <t>MULTI_FAMILY_FORECLOSURE_OTHER</t>
  </si>
  <si>
    <t>MULTI_FAMILY_PRE_FORCLOSURE_TOTAL_FILINGS</t>
  </si>
  <si>
    <t>MULTI_FAMILY_PRE_FORECLOSURE_NOTICE_OF_DEFAULT</t>
  </si>
  <si>
    <t>MULTI_FAMILY_PRE_FORECLOSURE_NOTICE_OF_FORECLOSURE</t>
  </si>
  <si>
    <t>MULTI_FAMILY_PRE_FORECLOSURE_NOTICE_OF_SALE</t>
  </si>
  <si>
    <t>MULTI_FAMILY_PRE_FORECLOSURE_NOTICE_OF_TRUSTEES_SALE</t>
  </si>
  <si>
    <t>MULTI_FAMILY_PRE_FORECLOSURE_LIS_PENDENS</t>
  </si>
  <si>
    <t>MULTI_FAMILY_PRE_FORECLOSURE_FINAL_JUDGEMENT</t>
  </si>
  <si>
    <t>MULTI_FAMILY_PRE_FORECLOSURE_OTHER</t>
  </si>
  <si>
    <t>",</t>
  </si>
  <si>
    <t>DOUBLE PRECISION</t>
  </si>
  <si>
    <t>SET [TOTAL_12_MONTH_PRICE_CHANGE_RESALE] = REPLACE([TOTAL_12_MONTH_PRICE_CHANGE_RESALE], ',', '');</t>
  </si>
  <si>
    <t xml:space="preserve">UPDATE dbo.NationWideHomeSalesReport_FullHist  SET </t>
  </si>
  <si>
    <t>[LOCATION_AGGREGATE]</t>
  </si>
  <si>
    <t>[LOCATION_CODE]</t>
  </si>
  <si>
    <t>[TIME_PERIOD]</t>
  </si>
  <si>
    <t>[LOCATION_CITY]</t>
  </si>
  <si>
    <t>[LOCATION_COUNTY]</t>
  </si>
  <si>
    <t>[LOCATION_CBSA]</t>
  </si>
  <si>
    <t>[LOCATION_STATE]</t>
  </si>
  <si>
    <t>[TOTAL_SALES]</t>
  </si>
  <si>
    <t>[TOTAL_SALES_RESALE]</t>
  </si>
  <si>
    <t>[TOTAL_SALES_NEW_CONST]</t>
  </si>
  <si>
    <t>[TOTAL_AVG_SALES_PRICE]</t>
  </si>
  <si>
    <t>[TOTAL_AVG_SALES_PRICE_RESALE]</t>
  </si>
  <si>
    <t>[TOTAL_AVG_SALES_PRICE_NEW_CONST]</t>
  </si>
  <si>
    <t>[TOTAL_MED_SALES_PRICE]</t>
  </si>
  <si>
    <t>[TOTAL_MED_SALES_PRICE_RESALE]</t>
  </si>
  <si>
    <t>[TOTAL_MED_SALES_PRICE_NEW_CONST]</t>
  </si>
  <si>
    <t>[TOTAL_UPPER_QUARTILE_SALES_PRICE]</t>
  </si>
  <si>
    <t>[TOTAL_UPPER_QUARTILE_SALES_PRICE_RESALE]</t>
  </si>
  <si>
    <t>[TOTAL_UPPER_QUARTILE_SALES_PRICE_NEW_CONST]</t>
  </si>
  <si>
    <t>[TOTAL_LOWER_QUARTILE_SALES_PRICE]</t>
  </si>
  <si>
    <t>[TOTAL_LOWER_QUARTILE_SALES_PRICE_RESALE]</t>
  </si>
  <si>
    <t>[TOTAL_LOWER_QUARTILE_SALES_PRICE_NEW_CONST]</t>
  </si>
  <si>
    <t>[TOTAL_AVG_SQFT]</t>
  </si>
  <si>
    <t>[TOTAL_AVG_SQFT_RESALE]</t>
  </si>
  <si>
    <t>[TOTAL_AVG_SQFT_NEW_CONST]</t>
  </si>
  <si>
    <t>[TOTAL_AVG_DOLLAR_PER_SQFT]</t>
  </si>
  <si>
    <t>[TOTAL_AVG_DOLLAR_PER_SQFT_RESALE]</t>
  </si>
  <si>
    <t>[TOTAL_AVG_DOLLAR_PER_SQFT_NEW_CONST]</t>
  </si>
  <si>
    <t>[TOTAL_MED_SQFT]</t>
  </si>
  <si>
    <t>[TOTAL_MED_SQFT_RESALE]</t>
  </si>
  <si>
    <t>[TOTAL_MED_SQFT_NEW_CONST]</t>
  </si>
  <si>
    <t>[TOTAL_MED_DOLLAR_PER_SQFT]</t>
  </si>
  <si>
    <t>[TOTAL_MED_DOLLAR_PER_SQFT_RESALE]</t>
  </si>
  <si>
    <t>[TOTAL_MED_DOLLAR_PER_SQFT_NEW_CONST]</t>
  </si>
  <si>
    <t>[TOTAL_12_MONTH_PRICE_CHANGE]</t>
  </si>
  <si>
    <t>[TOTAL_12_MONTH_PRICE_CHANGE_RESALE]</t>
  </si>
  <si>
    <t>[TOTAL_12_MONTH_PRICE_CHANGE_NEW_CONST]</t>
  </si>
  <si>
    <t>[TOTAL_OWNER_OCCUPIED_SALES]</t>
  </si>
  <si>
    <t>[TOTAL_NON_OWNER_OCCUPIED_SALES]</t>
  </si>
  <si>
    <t>[TOTAL_OWNER_OCCUPIED_AVG_SALES_PRICE]</t>
  </si>
  <si>
    <t>[TOTAL_NON_OWNER_OCCUPIED_AVG_SALES_PRICE]</t>
  </si>
  <si>
    <t>[TOTAL_OWNER_OCCUPIED_MED_SALES_PRICE]</t>
  </si>
  <si>
    <t>[TOTAL_NON_OWNER_OCCUPIED_MED_SALES_PRICE]</t>
  </si>
  <si>
    <t>[TOTAL_SALES_BY_PRICE_RANGE_Under $250K]</t>
  </si>
  <si>
    <t>[TOTAL_SALES_BY_PRICE_RANGE_$250K-$500K]</t>
  </si>
  <si>
    <t>[TOTAL_SALES_BY_PRICE_RANGE_$500K-$750K]</t>
  </si>
  <si>
    <t>[TOTAL_SALES_BY_PRICE_RANGE_$750K-$1M]</t>
  </si>
  <si>
    <t>[TOTAL_SALES_BY_PRICE_RANGE_$1M-$1 5M]</t>
  </si>
  <si>
    <t>[TOTAL_SALES_BY_PRICE_RANGE_$1 5M-$2 0M]</t>
  </si>
  <si>
    <t>[TOTAL_SALES_BY_PRICE_RANGE_$2M-$3M]</t>
  </si>
  <si>
    <t>[TOTAL_SALES_BY_PRICE_RANGE_$3M-$5M]</t>
  </si>
  <si>
    <t>[TOTAL_SALES_BY_PRICE_RANGE_Over $5M]</t>
  </si>
  <si>
    <t>[CONDO_TOTAL_SALES]</t>
  </si>
  <si>
    <t>[CONDO_TOTAL_SALES_RESALE]</t>
  </si>
  <si>
    <t>[CONDO_TOTAL_SALES_NEW_CONST]</t>
  </si>
  <si>
    <t>[CONDO_AVG_SALES_PRICE]</t>
  </si>
  <si>
    <t>[CONDO_AVG_SALES_PRICE_RESALE]</t>
  </si>
  <si>
    <t>[CONDO_AVG_SALES_PRICE_NEW_CONST]</t>
  </si>
  <si>
    <t>[CONDO_MED_SALES_PRICE]</t>
  </si>
  <si>
    <t>[CONDO_MED_SALES_PRICE_RESALE]</t>
  </si>
  <si>
    <t>[CONDO_MED_SALES_PRICE_NEW_CONST]</t>
  </si>
  <si>
    <t>[CONDO_UPPER_QUARTILE_SALES_PRICE]</t>
  </si>
  <si>
    <t>[CONDO_UPPER_QUARTILE_SALES_PRICE_RESALE]</t>
  </si>
  <si>
    <t>[CONDO_UPPER_QUARTILE_SALES_PRICE_NEW_CONST]</t>
  </si>
  <si>
    <t>[CONDO_LOWER_QUARTILE_SALES_PRICE]</t>
  </si>
  <si>
    <t>[CONDO_LOWER_QUARTILE_SALES_PRICE_RESALE]</t>
  </si>
  <si>
    <t>[CONDO_LOWER_QUARTILE_SALES_PRICE_NEW_CONST]</t>
  </si>
  <si>
    <t>[CONDO_AVG_SQFT]</t>
  </si>
  <si>
    <t>[CONDO_AVG_SQFT_RESALE]</t>
  </si>
  <si>
    <t>[CONDO_AVG_SQFT_NEW_CONST]</t>
  </si>
  <si>
    <t>[CONDO_AVG_DOLLAR_PER_SQFT]</t>
  </si>
  <si>
    <t>[CONDO_AVG_DOLLAR_PER_SQFT_RESALE]</t>
  </si>
  <si>
    <t>[CONDO_AVG_DOLLAR_PER_SQFT_NEW_CONST]</t>
  </si>
  <si>
    <t>[CONDO_MED_SQFT]</t>
  </si>
  <si>
    <t>[CONDO_MED_SQFT_RESALE]</t>
  </si>
  <si>
    <t>[CONDO_MED_SQFT_NEW_CONST]</t>
  </si>
  <si>
    <t>[CONDO_MED_DOLLAR_PER_SQFT]</t>
  </si>
  <si>
    <t>[CONDO_MED_DOLLAR_PER_SQFT_RESALE]</t>
  </si>
  <si>
    <t>[CONDO_MED_DOLLAR_PER_SQFT_NEW_CONST]</t>
  </si>
  <si>
    <t>[CONDO_12_MONTH_PRICE_CHANGE]</t>
  </si>
  <si>
    <t>[CONDO_12_MONTH_PRICE_CHANGE_RESALE]</t>
  </si>
  <si>
    <t>[CONDO_12_MONTH_PRICE_CHANGE_NEW_CONST]</t>
  </si>
  <si>
    <t>[CONDO_OWNER_OCCUPIED_SALES]</t>
  </si>
  <si>
    <t>[CONDO_NON_OWNER_OCCUPIED_SALES]</t>
  </si>
  <si>
    <t>[CONDO_OWNER_OCCUPIED_AVG_SALES_PRICE]</t>
  </si>
  <si>
    <t>[CONDO_NON_OWNER_OCCUPIED_AVG_SALES_PRICE]</t>
  </si>
  <si>
    <t>[CONDO_OWNER_OCCUPIED_MED_SALES_PRICE]</t>
  </si>
  <si>
    <t>[CONDO_NON_OWNER_OCCUPIED_MED_SALES_PRICE]</t>
  </si>
  <si>
    <t>[CONDO_SALES_BY_PRICE_RANGE_Under $250K]</t>
  </si>
  <si>
    <t>[CONDO_SALES_BY_PRICE_RANGE_$250K-$500K]</t>
  </si>
  <si>
    <t>[CONDO_SALES_BY_PRICE_RANGE_$500K-$750K]</t>
  </si>
  <si>
    <t>[CONDO_SALES_BY_PRICE_RANGE_$750K-$1M]</t>
  </si>
  <si>
    <t>[CONDO_SALES_BY_PRICE_RANGE_$1M-$1 5M]</t>
  </si>
  <si>
    <t>[CONDO_SALES_BY_PRICE_RANGE_$1 5M-$2 0M]</t>
  </si>
  <si>
    <t>[CONDO_SALES_BY_PRICE_RANGE_$2M-$3M]</t>
  </si>
  <si>
    <t>[CONDO_SALES_BY_PRICE_RANGE_$3M-$5M]</t>
  </si>
  <si>
    <t>[CONDO_SALES_BY_PRICE_RANGE_Over $5M]</t>
  </si>
  <si>
    <t>[SFR_ATTACHED_TOTAL_SALES]</t>
  </si>
  <si>
    <t>[SFR_ATTACHED_TOTAL_SALES_RESALE]</t>
  </si>
  <si>
    <t>[SFR_ATTACHED_TOTAL_SALES_NEW_CONST]</t>
  </si>
  <si>
    <t>[SFR_ATTACHED_AVG_SALES_PRICE]</t>
  </si>
  <si>
    <t>[SFR_ATTACHED_AVG_SALES_PRICE_RESALE]</t>
  </si>
  <si>
    <t>[SFR_ATTACHED_AVG_SALES_PRICE_NEW_CONST]</t>
  </si>
  <si>
    <t>[SFR_ATTACHED_MED_SALES_PRICE]</t>
  </si>
  <si>
    <t>[SFR_ATTACHED_MED_SALES_PRICE_RESALE]</t>
  </si>
  <si>
    <t>[SFR_ATTACHED_MED_SALES_PRICE_NEW_CONST]</t>
  </si>
  <si>
    <t>[SFR_ATTACHED_UPPER_QUARTILE_SALES_PRICE]</t>
  </si>
  <si>
    <t>[SFR_ATTACHED_UPPER_QUARTILE_SALES_PRICE_RESALE]</t>
  </si>
  <si>
    <t>[SFR_ATTACHED_UPPER_QUARTILE_SALES_PRICE_NEW_CONST]</t>
  </si>
  <si>
    <t>[SFR_ATTACHED_LOWER_QUARTILE_SALES_PRICE]</t>
  </si>
  <si>
    <t>[SFR_ATTACHED_LOWER_QUARTILE_SALES_PRICE_RESALE]</t>
  </si>
  <si>
    <t>[SFR_ATTACHED_LOWER_QUARTILE_SALES_PRICE_NEW_CONST]</t>
  </si>
  <si>
    <t>[SFR_ATTACHED_AVG_SQFT]</t>
  </si>
  <si>
    <t>[SFR_ATTACHED_AVG_SQFT_RESALE]</t>
  </si>
  <si>
    <t>[SFR_ATTACHED_AVG_SQFT_NEW_CONST]</t>
  </si>
  <si>
    <t>[SFR_ATTACHED_AVG_DOLLAR_PER_SQFT]</t>
  </si>
  <si>
    <t>[SFR_ATTACHED_AVG_DOLLAR_PER_SQFT_RESALE]</t>
  </si>
  <si>
    <t>[SFR_ATTACHED_AVG_DOLLAR_PER_SQFT_NEW_CONST]</t>
  </si>
  <si>
    <t>[SFR_ATTACHED_MED_SQFT]</t>
  </si>
  <si>
    <t>[SFR_ATTACHED_MED_SQFT_RESALE]</t>
  </si>
  <si>
    <t>[SFR_ATTACHED_MED_SQFT_NEW_CONST]</t>
  </si>
  <si>
    <t>[SFR_ATTACHED_MED_DOLLAR_PER_SQFT]</t>
  </si>
  <si>
    <t>[SFR_ATTACHED_MED_DOLLAR_PER_SQFT_RESALE]</t>
  </si>
  <si>
    <t>[SFR_ATTACHED_MED_DOLLAR_PER_SQFT_NEW_CONST]</t>
  </si>
  <si>
    <t>[SFR_ATTACHED_12_MONTH_PRICE_CHANGE]</t>
  </si>
  <si>
    <t>[SFR_ATTACHED_12_MONTH_PRICE_CHANGE_RESALE]</t>
  </si>
  <si>
    <t>[SFR_ATTACHED_12_MONTH_PRICE_CHANGE_NEW_CONST]</t>
  </si>
  <si>
    <t>[SFR_ATTACHED_OWNER_OCCUPIED_SALES]</t>
  </si>
  <si>
    <t>[SFR_ATTACHED_NON_OWNER_OCCUPIED_SALES]</t>
  </si>
  <si>
    <t>[SFR_ATTACHED_OWNER_OCCUPIED_AVG_SALES_PRICE]</t>
  </si>
  <si>
    <t>[SFR_ATTACHED_NON_OWNER_OCCUPIED_AVG_SALES_PRICE]</t>
  </si>
  <si>
    <t>[SFR_ATTACHED_OWNER_OCCUPIED_MED_SALES_PRICE]</t>
  </si>
  <si>
    <t>[SFR_ATTACHED_NON_OWNER_OCCUPIED_MED_SALES_PRICE]</t>
  </si>
  <si>
    <t>[SFR_ATTACHED_SALES_BY_PRICE_RANGE_Under $250K]</t>
  </si>
  <si>
    <t>[SFR_ATTACHED_SALES_BY_PRICE_RANGE_$250K-$500K]</t>
  </si>
  <si>
    <t>[SFR_ATTACHED_SALES_BY_PRICE_RANGE_$500K-$750K]</t>
  </si>
  <si>
    <t>[SFR_ATTACHED_SALES_BY_PRICE_RANGE_$750K-$1M]</t>
  </si>
  <si>
    <t>[SFR_ATTACHED_SALES_BY_PRICE_RANGE_$1M-$1 5M]</t>
  </si>
  <si>
    <t>[SFR_ATTACHED_SALES_BY_PRICE_RANGE_$1 5M-$2 0M]</t>
  </si>
  <si>
    <t>[SFR_ATTACHED_SALES_BY_PRICE_RANGE_$2M-$3M]</t>
  </si>
  <si>
    <t>[SFR_ATTACHED_SALES_BY_PRICE_RANGE_$3M-$5M]</t>
  </si>
  <si>
    <t>[SFR_ATTACHED_SALES_BY_PRICE_RANGE_Over $5M]</t>
  </si>
  <si>
    <t>[SFR_DETACHED_TOTAL_SALES]</t>
  </si>
  <si>
    <t>[SFR_DETACHED_TOTAL_SALES_RESALE]</t>
  </si>
  <si>
    <t>[SFR_DETACHED_TOTAL_SALES_NEW_CONST]</t>
  </si>
  <si>
    <t>[SFR_DETACHED_AVG_SALES_PRICE]</t>
  </si>
  <si>
    <t>[SFR_DETACHED_AVG_SALES_PRICE_RESALE]</t>
  </si>
  <si>
    <t>[SFR_DETACHED_AVG_SALES_PRICE_NEW_CONST]</t>
  </si>
  <si>
    <t>[SFR_DETACHED_MED_SALES_PRICE]</t>
  </si>
  <si>
    <t>[SFR_DETACHED_MED_SALES_PRICE_RESALE]</t>
  </si>
  <si>
    <t>[SFR_DETACHED_MED_SALES_PRICE_NEW_CONST]</t>
  </si>
  <si>
    <t>[SFR_DETACHED_UPPER_QUARTILE_SALES_PRICE]</t>
  </si>
  <si>
    <t>[SFR_DETACHED_UPPER_QUARTILE_SALES_PRICE_RESALE]</t>
  </si>
  <si>
    <t>[SFR_DETACHED_UPPER_QUARTILE_SALES_PRICE_NEW_CONST]</t>
  </si>
  <si>
    <t>[SFR_DETACHED_LOWER_QUARTILE_SALES_PRICE]</t>
  </si>
  <si>
    <t>[SFR_DETACHED_LOWER_QUARTILE_SALES_PRICE_RESALE]</t>
  </si>
  <si>
    <t>[SFR_DETACHED_LOWER_QUARTILE_SALES_PRICE_NEW_CONST]</t>
  </si>
  <si>
    <t>[SFR_DETACHED_AVG_SQFT]</t>
  </si>
  <si>
    <t>[SFR_DETACHED_AVG_SQFT_RESALE]</t>
  </si>
  <si>
    <t>[SFR_DETACHED_AVG_SQFT_NEW_CONST]</t>
  </si>
  <si>
    <t>[SFR_DETACHED_AVG_DOLLAR_PER_SQFT]</t>
  </si>
  <si>
    <t>[SFR_DETACHED_AVG_DOLLAR_PER_SQFT_RESALE]</t>
  </si>
  <si>
    <t>[SFR_DETACHED_AVG_DOLLAR_PER_SQFT_NEW_CONST]</t>
  </si>
  <si>
    <t>[SFR_DETACHED_MED_SQFT]</t>
  </si>
  <si>
    <t>[SFR_DETACHED_MED_SQFT_RESALE]</t>
  </si>
  <si>
    <t>[SFR_DETACHED_MED_SQFT_NEW_CONST]</t>
  </si>
  <si>
    <t>[SFR_DETACHED_MED_DOLLAR_PER_SQFT]</t>
  </si>
  <si>
    <t>[SFR_DETACHED_MED_DOLLAR_PER_SQFT_RESALE]</t>
  </si>
  <si>
    <t>[SFR_DETACHED_MED_DOLLAR_PER_SQFT_NEW_CONST]</t>
  </si>
  <si>
    <t>[SFR_DETACHED_12_MONTH_PRICE_CHANGE]</t>
  </si>
  <si>
    <t>[SFR_DETACHED_12_MONTH_PRICE_CHANGE_RESALE]</t>
  </si>
  <si>
    <t>[SFR_DETACHED_12_MONTH_PRICE_CHANGE_NEW_CONST]</t>
  </si>
  <si>
    <t>[SFR_DETACHED_OWNER_OCCUPIED_SALES]</t>
  </si>
  <si>
    <t>[SFR_DETACHED_NON_OWNER_OCCUPIED_SALES]</t>
  </si>
  <si>
    <t>[SFR_DETACHED_OWNER_OCCUPIED_AVG_SALES_PRICE]</t>
  </si>
  <si>
    <t>[SFR_DETACHED_NON_OWNER_OCCUPIED_AVG_SALES_PRICE]</t>
  </si>
  <si>
    <t>[SFR_DETACHED_OWNER_OCCUPIED_MED_SALES_PRICE]</t>
  </si>
  <si>
    <t>[SFR_DETACHED_NON_OWNER_OCCUPIED_MED_SALES_PRICE]</t>
  </si>
  <si>
    <t>[SFR_DETACHED_SALES_BY_PRICE_RANGE_Under $250K]</t>
  </si>
  <si>
    <t>[SFR_DETACHED_SALES_BY_PRICE_RANGE_$250K-$500K]</t>
  </si>
  <si>
    <t>[SFR_DETACHED_SALES_BY_PRICE_RANGE_$500K-$750K]</t>
  </si>
  <si>
    <t>[SFR_DETACHED_SALES_BY_PRICE_RANGE_$750K-$1M]</t>
  </si>
  <si>
    <t>[SFR_DETACHED_SALES_BY_PRICE_RANGE_$1M-$1 5M]</t>
  </si>
  <si>
    <t>[SFR_DETACHED_SALES_BY_PRICE_RANGE_$1 5M-$2 0M]</t>
  </si>
  <si>
    <t>[SFR_DETACHED_SALES_BY_PRICE_RANGE_$2M-$3M]</t>
  </si>
  <si>
    <t>[SFR_DETACHED_SALES_BY_PRICE_RANGE_$3M-$5M]</t>
  </si>
  <si>
    <t>[SFR_DETACHED_SALES_BY_PRICE_RANGE_Over $5M]</t>
  </si>
  <si>
    <t>[MULTI_FAMILY_TOTAL_SALES]</t>
  </si>
  <si>
    <t>[MULTI_FAMILY_TOTAL_SALES_RESALE]</t>
  </si>
  <si>
    <t>[MULTI_FAMILY_TOTAL_SALES_NEW_CONST]</t>
  </si>
  <si>
    <t>[MULTI_FAMILY_AVG_SALES_PRICE]</t>
  </si>
  <si>
    <t>[MULTI_FAMILY_AVG_SALES_PRICE_RESALE]</t>
  </si>
  <si>
    <t>[MULTI_FAMILY_AVG_SALES_PRICE_NEW_CONST]</t>
  </si>
  <si>
    <t>[MULTI_FAMILY_MED_SALES_PRICE]</t>
  </si>
  <si>
    <t>[MULTI_FAMILY_MED_SALES_PRICE_RESALE]</t>
  </si>
  <si>
    <t>[MULTI_FAMILY_MED_SALES_PRICE_NEW_CONST]</t>
  </si>
  <si>
    <t>[MULTI_FAMILY_UPPER_QUARTILE_SALES_PRICE]</t>
  </si>
  <si>
    <t>[MULTI_FAMILY_UPPER_QUARTILE_SALES_PRICE_RESALE]</t>
  </si>
  <si>
    <t>[MULTI_FAMILY_UPPER_QUARTILE_SALES_PRICE_NEW_CONST]</t>
  </si>
  <si>
    <t>[MULTI_FAMILY_LOWER_QUARTILE_SALES_PRICE]</t>
  </si>
  <si>
    <t>[MULTI_FAMILY_LOWER_QUARTILE_SALES_PRICE_RESALE]</t>
  </si>
  <si>
    <t>[MULTI_FAMILY_LOWER_QUARTILE_SALES_PRICE_NEW_CONST]</t>
  </si>
  <si>
    <t>[MULTI_FAMILY_AVG_SQFT]</t>
  </si>
  <si>
    <t>[MULTI_FAMILY_AVG_SQFT_RESALE]</t>
  </si>
  <si>
    <t>[MULTI_FAMILY_AVG_SQFT_NEW_CONST]</t>
  </si>
  <si>
    <t>[MULTI_FAMILY_AVG_DOLLAR_PER_SQFT]</t>
  </si>
  <si>
    <t>[MULTI_FAMILY_AVG_DOLLAR_PER_SQFT_RESALE]</t>
  </si>
  <si>
    <t>[MULTI_FAMILY_AVG_DOLLAR_PER_SQFT_NEW_CONST]</t>
  </si>
  <si>
    <t>[MULTI_FAMILY_MED_SQFT]</t>
  </si>
  <si>
    <t>[MULTI_FAMILY_MED_SQFT_RESALE]</t>
  </si>
  <si>
    <t>[MULTI_FAMILY_MED_SQFT_NEW_CONST]</t>
  </si>
  <si>
    <t>[MULTI_FAMILY_MED_DOLLAR_PER_SQFT]</t>
  </si>
  <si>
    <t>[MULTI_FAMILY_MED_DOLLAR_PER_SQFT_RESALE]</t>
  </si>
  <si>
    <t>[MULTI_FAMILY_MED_DOLLAR_PER_SQFT_NEW_CONST]</t>
  </si>
  <si>
    <t>[MULTI_FAMILY_12_MONTH_PRICE_CHANGE]</t>
  </si>
  <si>
    <t>[MULTI_FAMILY_12_MONTH_PRICE_CHANGE_RESALE]</t>
  </si>
  <si>
    <t>[MULTI_FAMILY_12_MONTH_PRICE_CHANGE_NEW_CONST]</t>
  </si>
  <si>
    <t>[MULTI_FAMILY_OWNER_OCCUPIED_SALES]</t>
  </si>
  <si>
    <t>[MULTI_FAMILY_NON_OWNER_OCCUPIED_SALES]</t>
  </si>
  <si>
    <t>[MULTI_FAMILY_OWNER_OCCUPIED_AVG_SALES_PRICE]</t>
  </si>
  <si>
    <t>[MULTI_FAMILY_NON_OWNER_OCCUPIED_AVG_SALES_PRICE]</t>
  </si>
  <si>
    <t>[MULTI_FAMILY_OWNER_OCCUPIED_MED_SALES_PRICE]</t>
  </si>
  <si>
    <t>[MULTI_FAMILY_NON_OWNER_OCCUPIED_MED_SALES_PRICE]</t>
  </si>
  <si>
    <t>[MULTI_FAMILY_SALES_BY_PRICE_RANGE_Under $250K]</t>
  </si>
  <si>
    <t>[MULTI_FAMILY_SALES_BY_PRICE_RANGE_$250K-$500K]</t>
  </si>
  <si>
    <t>[MULTI_FAMILY_SALES_BY_PRICE_RANGE_$500K-$750K]</t>
  </si>
  <si>
    <t>[MULTI_FAMILY_SALES_BY_PRICE_RANGE_$750K-$1M]</t>
  </si>
  <si>
    <t>[MULTI_FAMILY_SALES_BY_PRICE_RANGE_$1M-$1 5M]</t>
  </si>
  <si>
    <t>[MULTI_FAMILY_SALES_BY_PRICE_RANGE_$1 5M-$2 0M]</t>
  </si>
  <si>
    <t>[MULTI_FAMILY_SALES_BY_PRICE_RANGE_$2M-$3M]</t>
  </si>
  <si>
    <t>[MULTI_FAMILY_SALES_BY_PRICE_RANGE_$3M-$5M]</t>
  </si>
  <si>
    <t>[MULTI_FAMILY_SALES_BY_PRICE_RANGE_Over $5M]</t>
  </si>
  <si>
    <t xml:space="preserve"> = REPLACE(</t>
  </si>
  <si>
    <t>, ',', '');</t>
  </si>
  <si>
    <t>TOTAL_SALES</t>
  </si>
  <si>
    <t>TOTAL_SALES_RESALE</t>
  </si>
  <si>
    <t>TOTAL_SALES_NEW_CONST</t>
  </si>
  <si>
    <t>TOTAL_AVG_SALES_PRICE</t>
  </si>
  <si>
    <t>varchar(50),</t>
  </si>
  <si>
    <t>TOTAL_AVG_SALES_PRICE_RESALE</t>
  </si>
  <si>
    <t>TOTAL_AVG_SALES_PRICE_NEW_CONST</t>
  </si>
  <si>
    <t>TOTAL_MED_SALES_PRICE</t>
  </si>
  <si>
    <t>TOTAL_MED_SALES_PRICE_RESALE</t>
  </si>
  <si>
    <t>TOTAL_MED_SALES_PRICE_NEW_CONST</t>
  </si>
  <si>
    <t>TOTAL_UPPER_QUARTILE_SALES_PRICE</t>
  </si>
  <si>
    <t>TOTAL_UPPER_QUARTILE_SALES_PRICE_RESALE</t>
  </si>
  <si>
    <t>TOTAL_UPPER_QUARTILE_SALES_PRICE_NEW_CONST</t>
  </si>
  <si>
    <t>TOTAL_LOWER_QUARTILE_SALES_PRICE</t>
  </si>
  <si>
    <t>TOTAL_LOWER_QUARTILE_SALES_PRICE_RESALE</t>
  </si>
  <si>
    <t>TOTAL_LOWER_QUARTILE_SALES_PRICE_NEW_CONST</t>
  </si>
  <si>
    <t>TOTAL_AVG_SQFT</t>
  </si>
  <si>
    <t>TOTAL_AVG_SQFT_RESALE</t>
  </si>
  <si>
    <t>TOTAL_AVG_SQFT_NEW_CONST</t>
  </si>
  <si>
    <t>TOTAL_AVG_DOLLAR_PER_SQFT</t>
  </si>
  <si>
    <t>TOTAL_AVG_DOLLAR_PER_SQFT_RESALE</t>
  </si>
  <si>
    <t>TOTAL_AVG_DOLLAR_PER_SQFT_NEW_CONST</t>
  </si>
  <si>
    <t>TOTAL_MED_SQFT</t>
  </si>
  <si>
    <t>TOTAL_MED_SQFT_RESALE</t>
  </si>
  <si>
    <t>TOTAL_MED_SQFT_NEW_CONST</t>
  </si>
  <si>
    <t>TOTAL_MED_DOLLAR_PER_SQFT</t>
  </si>
  <si>
    <t>TOTAL_MED_DOLLAR_PER_SQFT_RESALE</t>
  </si>
  <si>
    <t>TOTAL_MED_DOLLAR_PER_SQFT_NEW_CONST</t>
  </si>
  <si>
    <t>TOTAL_12_MONTH_PRICE_CHANGE</t>
  </si>
  <si>
    <t>TOTAL_12_MONTH_PRICE_CHANGE_RESALE</t>
  </si>
  <si>
    <t>TOTAL_12_MONTH_PRICE_CHANGE_NEW_CONST</t>
  </si>
  <si>
    <t>TOTAL_OWNER_OCCUPIED_SALES</t>
  </si>
  <si>
    <t>TOTAL_NON_OWNER_OCCUPIED_SALES</t>
  </si>
  <si>
    <t>TOTAL_OWNER_OCCUPIED_AVG_SALES_PRICE</t>
  </si>
  <si>
    <t>TOTAL_NON_OWNER_OCCUPIED_AVG_SALES_PRICE</t>
  </si>
  <si>
    <t>TOTAL_OWNER_OCCUPIED_MED_SALES_PRICE</t>
  </si>
  <si>
    <t>TOTAL_NON_OWNER_OCCUPIED_MED_SALES_PRICE</t>
  </si>
  <si>
    <t>TOTAL_SALES_BY_PRICE_RANGE_Under $250K</t>
  </si>
  <si>
    <t>TOTAL_SALES_BY_PRICE_RANGE_$250K-$500K</t>
  </si>
  <si>
    <t>TOTAL_SALES_BY_PRICE_RANGE_$500K-$750K</t>
  </si>
  <si>
    <t>TOTAL_SALES_BY_PRICE_RANGE_$750K-$1M</t>
  </si>
  <si>
    <t>TOTAL_SALES_BY_PRICE_RANGE_$1M-$1.5M</t>
  </si>
  <si>
    <t>TOTAL_SALES_BY_PRICE_RANGE_$1.5M-$2.0M</t>
  </si>
  <si>
    <t>TOTAL_SALES_BY_PRICE_RANGE_$2M-$3M</t>
  </si>
  <si>
    <t>TOTAL_SALES_BY_PRICE_RANGE_$3M-$5M</t>
  </si>
  <si>
    <t>TOTAL_SALES_BY_PRICE_RANGE_Over $5M</t>
  </si>
  <si>
    <t>CONDO_TOTAL_SALES</t>
  </si>
  <si>
    <t>CONDO_TOTAL_SALES_RESALE</t>
  </si>
  <si>
    <t>CONDO_TOTAL_SALES_NEW_CONST</t>
  </si>
  <si>
    <t>CONDO_AVG_SALES_PRICE</t>
  </si>
  <si>
    <t>CONDO_AVG_SALES_PRICE_RESALE</t>
  </si>
  <si>
    <t>CONDO_AVG_SALES_PRICE_NEW_CONST</t>
  </si>
  <si>
    <t>CONDO_MED_SALES_PRICE</t>
  </si>
  <si>
    <t>CONDO_MED_SALES_PRICE_RESALE</t>
  </si>
  <si>
    <t>CONDO_MED_SALES_PRICE_NEW_CONST</t>
  </si>
  <si>
    <t>CONDO_UPPER_QUARTILE_SALES_PRICE</t>
  </si>
  <si>
    <t>CONDO_UPPER_QUARTILE_SALES_PRICE_RESALE</t>
  </si>
  <si>
    <t>CONDO_UPPER_QUARTILE_SALES_PRICE_NEW_CONST</t>
  </si>
  <si>
    <t>CONDO_LOWER_QUARTILE_SALES_PRICE</t>
  </si>
  <si>
    <t>CONDO_LOWER_QUARTILE_SALES_PRICE_RESALE</t>
  </si>
  <si>
    <t>CONDO_LOWER_QUARTILE_SALES_PRICE_NEW_CONST</t>
  </si>
  <si>
    <t>CONDO_AVG_SQFT</t>
  </si>
  <si>
    <t>CONDO_AVG_SQFT_RESALE</t>
  </si>
  <si>
    <t>CONDO_AVG_SQFT_NEW_CONST</t>
  </si>
  <si>
    <t>CONDO_AVG_DOLLAR_PER_SQFT</t>
  </si>
  <si>
    <t>CONDO_AVG_DOLLAR_PER_SQFT_RESALE</t>
  </si>
  <si>
    <t>CONDO_AVG_DOLLAR_PER_SQFT_NEW_CONST</t>
  </si>
  <si>
    <t>CONDO_MED_SQFT</t>
  </si>
  <si>
    <t>CONDO_MED_SQFT_RESALE</t>
  </si>
  <si>
    <t>CONDO_MED_SQFT_NEW_CONST</t>
  </si>
  <si>
    <t>CONDO_MED_DOLLAR_PER_SQFT</t>
  </si>
  <si>
    <t>CONDO_MED_DOLLAR_PER_SQFT_RESALE</t>
  </si>
  <si>
    <t>CONDO_MED_DOLLAR_PER_SQFT_NEW_CONST</t>
  </si>
  <si>
    <t>CONDO_12_MONTH_PRICE_CHANGE</t>
  </si>
  <si>
    <t>CONDO_12_MONTH_PRICE_CHANGE_RESALE</t>
  </si>
  <si>
    <t>CONDO_12_MONTH_PRICE_CHANGE_NEW_CONST</t>
  </si>
  <si>
    <t>CONDO_OWNER_OCCUPIED_SALES</t>
  </si>
  <si>
    <t>CONDO_NON_OWNER_OCCUPIED_SALES</t>
  </si>
  <si>
    <t>CONDO_OWNER_OCCUPIED_AVG_SALES_PRICE</t>
  </si>
  <si>
    <t>CONDO_NON_OWNER_OCCUPIED_AVG_SALES_PRICE</t>
  </si>
  <si>
    <t>CONDO_OWNER_OCCUPIED_MED_SALES_PRICE</t>
  </si>
  <si>
    <t>CONDO_NON_OWNER_OCCUPIED_MED_SALES_PRICE</t>
  </si>
  <si>
    <t>CONDO_SALES_BY_PRICE_RANGE_Under $250K</t>
  </si>
  <si>
    <t>CONDO_SALES_BY_PRICE_RANGE_$250K-$500K</t>
  </si>
  <si>
    <t>CONDO_SALES_BY_PRICE_RANGE_$500K-$750K</t>
  </si>
  <si>
    <t>CONDO_SALES_BY_PRICE_RANGE_$750K-$1M</t>
  </si>
  <si>
    <t>CONDO_SALES_BY_PRICE_RANGE_$1M-$1.5M</t>
  </si>
  <si>
    <t>CONDO_SALES_BY_PRICE_RANGE_$1.5M-$2.0M</t>
  </si>
  <si>
    <t>CONDO_SALES_BY_PRICE_RANGE_$2M-$3M</t>
  </si>
  <si>
    <t>CONDO_SALES_BY_PRICE_RANGE_$3M-$5M</t>
  </si>
  <si>
    <t>CONDO_SALES_BY_PRICE_RANGE_Over $5M</t>
  </si>
  <si>
    <t>SFR_ATTACHED_TOTAL_SALES</t>
  </si>
  <si>
    <t>SFR_ATTACHED_TOTAL_SALES_RESALE</t>
  </si>
  <si>
    <t>SFR_ATTACHED_TOTAL_SALES_NEW_CONST</t>
  </si>
  <si>
    <t>SFR_ATTACHED_AVG_SALES_PRICE</t>
  </si>
  <si>
    <t>SFR_ATTACHED_AVG_SALES_PRICE_RESALE</t>
  </si>
  <si>
    <t>SFR_ATTACHED_AVG_SALES_PRICE_NEW_CONST</t>
  </si>
  <si>
    <t>SFR_ATTACHED_MED_SALES_PRICE</t>
  </si>
  <si>
    <t>SFR_ATTACHED_MED_SALES_PRICE_RESALE</t>
  </si>
  <si>
    <t>SFR_ATTACHED_MED_SALES_PRICE_NEW_CONST</t>
  </si>
  <si>
    <t>SFR_ATTACHED_UPPER_QUARTILE_SALES_PRICE</t>
  </si>
  <si>
    <t>SFR_ATTACHED_UPPER_QUARTILE_SALES_PRICE_RESALE</t>
  </si>
  <si>
    <t>SFR_ATTACHED_UPPER_QUARTILE_SALES_PRICE_NEW_CONST</t>
  </si>
  <si>
    <t>SFR_ATTACHED_LOWER_QUARTILE_SALES_PRICE</t>
  </si>
  <si>
    <t>SFR_ATTACHED_LOWER_QUARTILE_SALES_PRICE_RESALE</t>
  </si>
  <si>
    <t>SFR_ATTACHED_LOWER_QUARTILE_SALES_PRICE_NEW_CONST</t>
  </si>
  <si>
    <t>SFR_ATTACHED_AVG_SQFT</t>
  </si>
  <si>
    <t>SFR_ATTACHED_AVG_SQFT_RESALE</t>
  </si>
  <si>
    <t>SFR_ATTACHED_AVG_SQFT_NEW_CONST</t>
  </si>
  <si>
    <t>SFR_ATTACHED_AVG_DOLLAR_PER_SQFT</t>
  </si>
  <si>
    <t>SFR_ATTACHED_AVG_DOLLAR_PER_SQFT_RESALE</t>
  </si>
  <si>
    <t>SFR_ATTACHED_AVG_DOLLAR_PER_SQFT_NEW_CONST</t>
  </si>
  <si>
    <t>SFR_ATTACHED_MED_SQFT</t>
  </si>
  <si>
    <t>SFR_ATTACHED_MED_SQFT_RESALE</t>
  </si>
  <si>
    <t>SFR_ATTACHED_MED_SQFT_NEW_CONST</t>
  </si>
  <si>
    <t>SFR_ATTACHED_MED_DOLLAR_PER_SQFT</t>
  </si>
  <si>
    <t>SFR_ATTACHED_MED_DOLLAR_PER_SQFT_RESALE</t>
  </si>
  <si>
    <t>SFR_ATTACHED_MED_DOLLAR_PER_SQFT_NEW_CONST</t>
  </si>
  <si>
    <t>SFR_ATTACHED_12_MONTH_PRICE_CHANGE</t>
  </si>
  <si>
    <t>SFR_ATTACHED_12_MONTH_PRICE_CHANGE_RESALE</t>
  </si>
  <si>
    <t>SFR_ATTACHED_12_MONTH_PRICE_CHANGE_NEW_CONST</t>
  </si>
  <si>
    <t>SFR_ATTACHED_OWNER_OCCUPIED_SALES</t>
  </si>
  <si>
    <t>SFR_ATTACHED_NON_OWNER_OCCUPIED_SALES</t>
  </si>
  <si>
    <t>SFR_ATTACHED_OWNER_OCCUPIED_AVG_SALES_PRICE</t>
  </si>
  <si>
    <t>SFR_ATTACHED_NON_OWNER_OCCUPIED_AVG_SALES_PRICE</t>
  </si>
  <si>
    <t>SFR_ATTACHED_OWNER_OCCUPIED_MED_SALES_PRICE</t>
  </si>
  <si>
    <t>SFR_ATTACHED_NON_OWNER_OCCUPIED_MED_SALES_PRICE</t>
  </si>
  <si>
    <t>SFR_ATTACHED_SALES_BY_PRICE_RANGE_Under $250K</t>
  </si>
  <si>
    <t>SFR_ATTACHED_SALES_BY_PRICE_RANGE_$250K-$500K</t>
  </si>
  <si>
    <t>SFR_ATTACHED_SALES_BY_PRICE_RANGE_$500K-$750K</t>
  </si>
  <si>
    <t>SFR_ATTACHED_SALES_BY_PRICE_RANGE_$750K-$1M</t>
  </si>
  <si>
    <t>SFR_ATTACHED_SALES_BY_PRICE_RANGE_$1M-$1 5M</t>
  </si>
  <si>
    <t>SFR_ATTACHED_SALES_BY_PRICE_RANGE_$1 5M-$2 0M</t>
  </si>
  <si>
    <t>SFR_ATTACHED_SALES_BY_PRICE_RANGE_$2M-$3M</t>
  </si>
  <si>
    <t>SFR_ATTACHED_SALES_BY_PRICE_RANGE_$3M-$5M</t>
  </si>
  <si>
    <t>SFR_ATTACHED_SALES_BY_PRICE_RANGE_Over $5M</t>
  </si>
  <si>
    <t>SFR_DETACHED_TOTAL_SALES</t>
  </si>
  <si>
    <t>SFR_DETACHED_TOTAL_SALES_RESALE</t>
  </si>
  <si>
    <t>SFR_DETACHED_TOTAL_SALES_NEW_CONST</t>
  </si>
  <si>
    <t>SFR_DETACHED_AVG_SALES_PRICE</t>
  </si>
  <si>
    <t>SFR_DETACHED_AVG_SALES_PRICE_RESALE</t>
  </si>
  <si>
    <t>SFR_DETACHED_AVG_SALES_PRICE_NEW_CONST</t>
  </si>
  <si>
    <t>SFR_DETACHED_MED_SALES_PRICE</t>
  </si>
  <si>
    <t>SFR_DETACHED_MED_SALES_PRICE_RESALE</t>
  </si>
  <si>
    <t>SFR_DETACHED_MED_SALES_PRICE_NEW_CONST</t>
  </si>
  <si>
    <t>SFR_DETACHED_UPPER_QUARTILE_SALES_PRICE</t>
  </si>
  <si>
    <t>SFR_DETACHED_UPPER_QUARTILE_SALES_PRICE_RESALE</t>
  </si>
  <si>
    <t>SFR_DETACHED_UPPER_QUARTILE_SALES_PRICE_NEW_CONST</t>
  </si>
  <si>
    <t>SFR_DETACHED_LOWER_QUARTILE_SALES_PRICE</t>
  </si>
  <si>
    <t>SFR_DETACHED_LOWER_QUARTILE_SALES_PRICE_RESALE</t>
  </si>
  <si>
    <t>SFR_DETACHED_LOWER_QUARTILE_SALES_PRICE_NEW_CONST</t>
  </si>
  <si>
    <t>SFR_DETACHED_AVG_SQFT</t>
  </si>
  <si>
    <t>SFR_DETACHED_AVG_SQFT_RESALE</t>
  </si>
  <si>
    <t>SFR_DETACHED_AVG_SQFT_NEW_CONST</t>
  </si>
  <si>
    <t>SFR_DETACHED_AVG_DOLLAR_PER_SQFT</t>
  </si>
  <si>
    <t>SFR_DETACHED_AVG_DOLLAR_PER_SQFT_RESALE</t>
  </si>
  <si>
    <t>SFR_DETACHED_AVG_DOLLAR_PER_SQFT_NEW_CONST</t>
  </si>
  <si>
    <t>SFR_DETACHED_MED_SQFT</t>
  </si>
  <si>
    <t>SFR_DETACHED_MED_SQFT_RESALE</t>
  </si>
  <si>
    <t>SFR_DETACHED_MED_SQFT_NEW_CONST</t>
  </si>
  <si>
    <t>SFR_DETACHED_MED_DOLLAR_PER_SQFT</t>
  </si>
  <si>
    <t>SFR_DETACHED_MED_DOLLAR_PER_SQFT_RESALE</t>
  </si>
  <si>
    <t>SFR_DETACHED_MED_DOLLAR_PER_SQFT_NEW_CONST</t>
  </si>
  <si>
    <t>SFR_DETACHED_12_MONTH_PRICE_CHANGE</t>
  </si>
  <si>
    <t>SFR_DETACHED_12_MONTH_PRICE_CHANGE_RESALE</t>
  </si>
  <si>
    <t>SFR_DETACHED_12_MONTH_PRICE_CHANGE_NEW_CONST</t>
  </si>
  <si>
    <t>SFR_DETACHED_OWNER_OCCUPIED_SALES</t>
  </si>
  <si>
    <t>SFR_DETACHED_NON_OWNER_OCCUPIED_SALES</t>
  </si>
  <si>
    <t>SFR_DETACHED_OWNER_OCCUPIED_AVG_SALES_PRICE</t>
  </si>
  <si>
    <t>SFR_DETACHED_NON_OWNER_OCCUPIED_AVG_SALES_PRICE</t>
  </si>
  <si>
    <t>SFR_DETACHED_OWNER_OCCUPIED_MED_SALES_PRICE</t>
  </si>
  <si>
    <t>SFR_DETACHED_NON_OWNER_OCCUPIED_MED_SALES_PRICE</t>
  </si>
  <si>
    <t>SFR_DETACHED_SALES_BY_PRICE_RANGE_Under $250K</t>
  </si>
  <si>
    <t>SFR_DETACHED_SALES_BY_PRICE_RANGE_$250K-$500K</t>
  </si>
  <si>
    <t>SFR_DETACHED_SALES_BY_PRICE_RANGE_$500K-$750K</t>
  </si>
  <si>
    <t>SFR_DETACHED_SALES_BY_PRICE_RANGE_$750K-$1M</t>
  </si>
  <si>
    <t>SFR_DETACHED_SALES_BY_PRICE_RANGE_$1M-$1.5M</t>
  </si>
  <si>
    <t>SFR_DETACHED_SALES_BY_PRICE_RANGE_$1.5M-$2.0M</t>
  </si>
  <si>
    <t>SFR_DETACHED_SALES_BY_PRICE_RANGE_$2M-$3M</t>
  </si>
  <si>
    <t>SFR_DETACHED_SALES_BY_PRICE_RANGE_$3M-$5M</t>
  </si>
  <si>
    <t>SFR_DETACHED_SALES_BY_PRICE_RANGE_Over $5M</t>
  </si>
  <si>
    <t>MULTI_FAMILY_TOTAL_SALES</t>
  </si>
  <si>
    <t>MULTI_FAMILY_TOTAL_SALES_RESALE</t>
  </si>
  <si>
    <t>MULTI_FAMILY_TOTAL_SALES_NEW_CONST</t>
  </si>
  <si>
    <t>MULTI_FAMILY_AVG_SALES_PRICE</t>
  </si>
  <si>
    <t>MULTI_FAMILY_AVG_SALES_PRICE_RESALE</t>
  </si>
  <si>
    <t>MULTI_FAMILY_AVG_SALES_PRICE_NEW_CONST</t>
  </si>
  <si>
    <t>MULTI_FAMILY_MED_SALES_PRICE</t>
  </si>
  <si>
    <t>MULTI_FAMILY_MED_SALES_PRICE_RESALE</t>
  </si>
  <si>
    <t>MULTI_FAMILY_MED_SALES_PRICE_NEW_CONST</t>
  </si>
  <si>
    <t>MULTI_FAMILY_UPPER_QUARTILE_SALES_PRICE</t>
  </si>
  <si>
    <t>MULTI_FAMILY_UPPER_QUARTILE_SALES_PRICE_RESALE</t>
  </si>
  <si>
    <t>MULTI_FAMILY_UPPER_QUARTILE_SALES_PRICE_NEW_CONST</t>
  </si>
  <si>
    <t>MULTI_FAMILY_LOWER_QUARTILE_SALES_PRICE</t>
  </si>
  <si>
    <t>MULTI_FAMILY_LOWER_QUARTILE_SALES_PRICE_RESALE</t>
  </si>
  <si>
    <t>MULTI_FAMILY_LOWER_QUARTILE_SALES_PRICE_NEW_CONST</t>
  </si>
  <si>
    <t>MULTI_FAMILY_AVG_SQFT</t>
  </si>
  <si>
    <t>MULTI_FAMILY_AVG_SQFT_RESALE</t>
  </si>
  <si>
    <t>MULTI_FAMILY_AVG_SQFT_NEW_CONST</t>
  </si>
  <si>
    <t>MULTI_FAMILY_AVG_DOLLAR_PER_SQFT</t>
  </si>
  <si>
    <t>MULTI_FAMILY_AVG_DOLLAR_PER_SQFT_RESALE</t>
  </si>
  <si>
    <t>MULTI_FAMILY_AVG_DOLLAR_PER_SQFT_NEW_CONST</t>
  </si>
  <si>
    <t>MULTI_FAMILY_MED_SQFT</t>
  </si>
  <si>
    <t>MULTI_FAMILY_MED_SQFT_RESALE</t>
  </si>
  <si>
    <t>MULTI_FAMILY_MED_SQFT_NEW_CONST</t>
  </si>
  <si>
    <t>MULTI_FAMILY_MED_DOLLAR_PER_SQFT</t>
  </si>
  <si>
    <t>MULTI_FAMILY_MED_DOLLAR_PER_SQFT_RESALE</t>
  </si>
  <si>
    <t>MULTI_FAMILY_MED_DOLLAR_PER_SQFT_NEW_CONST</t>
  </si>
  <si>
    <t>MULTI_FAMILY_12_MONTH_PRICE_CHANGE</t>
  </si>
  <si>
    <t>MULTI_FAMILY_12_MONTH_PRICE_CHANGE_RESALE</t>
  </si>
  <si>
    <t>MULTI_FAMILY_12_MONTH_PRICE_CHANGE_NEW_CONST</t>
  </si>
  <si>
    <t>MULTI_FAMILY_OWNER_OCCUPIED_SALES</t>
  </si>
  <si>
    <t>MULTI_FAMILY_NON_OWNER_OCCUPIED_SALES</t>
  </si>
  <si>
    <t>MULTI_FAMILY_OWNER_OCCUPIED_AVG_SALES_PRICE</t>
  </si>
  <si>
    <t>MULTI_FAMILY_NON_OWNER_OCCUPIED_AVG_SALES_PRICE</t>
  </si>
  <si>
    <t>MULTI_FAMILY_OWNER_OCCUPIED_MED_SALES_PRICE</t>
  </si>
  <si>
    <t>MULTI_FAMILY_NON_OWNER_OCCUPIED_MED_SALES_PRICE</t>
  </si>
  <si>
    <t>MULTI_FAMILY_SALES_BY_PRICE_RANGE_Under $250K</t>
  </si>
  <si>
    <t>MULTI_FAMILY_SALES_BY_PRICE_RANGE_$250K-$500K</t>
  </si>
  <si>
    <t>MULTI_FAMILY_SALES_BY_PRICE_RANGE_$500K-$750K</t>
  </si>
  <si>
    <t>MULTI_FAMILY_SALES_BY_PRICE_RANGE_$750K-$1M</t>
  </si>
  <si>
    <t>MULTI_FAMILY_SALES_BY_PRICE_RANGE_$1M-$1.5M</t>
  </si>
  <si>
    <t>MULTI_FAMILY_SALES_BY_PRICE_RANGE_$1.5M-$2.0M</t>
  </si>
  <si>
    <t>MULTI_FAMILY_SALES_BY_PRICE_RANGE_$2M-$3M</t>
  </si>
  <si>
    <t>MULTI_FAMILY_SALES_BY_PRICE_RANGE_$3M-$5M</t>
  </si>
  <si>
    <t>MULTI_FAMILY_SALES_BY_PRICE_RANGE_Over $5M</t>
  </si>
  <si>
    <t xml:space="preserve">"      </t>
  </si>
  <si>
    <t>ALTER COLUMN "</t>
  </si>
  <si>
    <t>"::numeric,</t>
  </si>
  <si>
    <t>Concat</t>
  </si>
  <si>
    <t>" TYPE numeric USING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</si>
</sst>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rgb="FF006464"/>
      <name val="Consolas"/>
      <family val="3"/>
    </font>
    <font>
      <sz val="9.8000000000000007"/>
      <color rgb="FFC77DBB"/>
      <name val="JetBrains Mono"/>
      <family val="3"/>
    </font>
    <font>
      <sz val="9.8000000000000007"/>
      <color rgb="FFFF0000"/>
      <name val="JetBrains Mono"/>
      <family val="3"/>
    </font>
    <font>
      <sz val="9.8000000000000007"/>
      <name val="JetBrains Mono"/>
      <family val="3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quotePrefix="1"/>
    <xf numFmtId="0" fontId="0" fillId="2" borderId="0" xfId="0" applyFill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D738-1D21-4D29-A7B5-41A8A8AE5130}">
  <dimension ref="B1:H232"/>
  <sheetViews>
    <sheetView tabSelected="1" topLeftCell="A198" workbookViewId="0">
      <selection activeCell="E212" sqref="E212"/>
    </sheetView>
  </sheetViews>
  <sheetFormatPr defaultRowHeight="15"/>
  <cols>
    <col min="2" max="2" width="15.5703125" bestFit="1" customWidth="1"/>
    <col min="3" max="3" width="58.7109375" bestFit="1" customWidth="1"/>
    <col min="4" max="4" width="23.7109375" customWidth="1"/>
    <col min="5" max="5" width="40.28515625" customWidth="1"/>
    <col min="6" max="6" width="13.42578125" customWidth="1"/>
  </cols>
  <sheetData>
    <row r="1" spans="2:8">
      <c r="C1" s="6" t="s">
        <v>0</v>
      </c>
      <c r="H1" s="7" t="s">
        <v>532</v>
      </c>
    </row>
    <row r="2" spans="2:8">
      <c r="C2" s="6" t="s">
        <v>2</v>
      </c>
    </row>
    <row r="3" spans="2:8">
      <c r="C3" s="6" t="s">
        <v>3</v>
      </c>
    </row>
    <row r="4" spans="2:8">
      <c r="C4" s="6" t="s">
        <v>4</v>
      </c>
    </row>
    <row r="5" spans="2:8">
      <c r="C5" s="6" t="s">
        <v>5</v>
      </c>
    </row>
    <row r="6" spans="2:8">
      <c r="C6" s="6" t="s">
        <v>6</v>
      </c>
    </row>
    <row r="7" spans="2:8">
      <c r="C7" s="6" t="s">
        <v>7</v>
      </c>
    </row>
    <row r="8" spans="2:8">
      <c r="B8" t="s">
        <v>530</v>
      </c>
      <c r="C8" s="5" t="s">
        <v>303</v>
      </c>
      <c r="D8" t="s">
        <v>533</v>
      </c>
      <c r="E8" t="str">
        <f>C8</f>
        <v>TOTAL_SALES</v>
      </c>
      <c r="F8" t="s">
        <v>531</v>
      </c>
      <c r="H8" t="str">
        <f>_xlfn.CONCAT(B8:F8)</f>
        <v>ALTER COLUMN "TOTAL_SALES" TYPE numeric USING "TOTAL_SALES"::numeric,</v>
      </c>
    </row>
    <row r="9" spans="2:8">
      <c r="B9" t="s">
        <v>530</v>
      </c>
      <c r="C9" s="5" t="s">
        <v>304</v>
      </c>
      <c r="D9" t="s">
        <v>533</v>
      </c>
      <c r="E9" t="str">
        <f t="shared" ref="E9:E72" si="0">C9</f>
        <v>TOTAL_SALES_RESALE</v>
      </c>
      <c r="F9" t="s">
        <v>531</v>
      </c>
      <c r="H9" t="str">
        <f t="shared" ref="H9:H72" si="1">_xlfn.CONCAT(B9:F9)</f>
        <v>ALTER COLUMN "TOTAL_SALES_RESALE" TYPE numeric USING "TOTAL_SALES_RESALE"::numeric,</v>
      </c>
    </row>
    <row r="10" spans="2:8">
      <c r="B10" t="s">
        <v>530</v>
      </c>
      <c r="C10" s="5" t="s">
        <v>305</v>
      </c>
      <c r="D10" t="s">
        <v>533</v>
      </c>
      <c r="E10" t="str">
        <f t="shared" si="0"/>
        <v>TOTAL_SALES_NEW_CONST</v>
      </c>
      <c r="F10" t="s">
        <v>531</v>
      </c>
      <c r="H10" t="str">
        <f t="shared" si="1"/>
        <v>ALTER COLUMN "TOTAL_SALES_NEW_CONST" TYPE numeric USING "TOTAL_SALES_NEW_CONST"::numeric,</v>
      </c>
    </row>
    <row r="11" spans="2:8">
      <c r="B11" t="s">
        <v>530</v>
      </c>
      <c r="C11" s="5" t="s">
        <v>306</v>
      </c>
      <c r="D11" t="s">
        <v>533</v>
      </c>
      <c r="E11" t="str">
        <f t="shared" si="0"/>
        <v>TOTAL_AVG_SALES_PRICE</v>
      </c>
      <c r="F11" t="s">
        <v>531</v>
      </c>
      <c r="H11" t="str">
        <f t="shared" si="1"/>
        <v>ALTER COLUMN "TOTAL_AVG_SALES_PRICE" TYPE numeric USING "TOTAL_AVG_SALES_PRICE"::numeric,</v>
      </c>
    </row>
    <row r="12" spans="2:8">
      <c r="B12" t="s">
        <v>530</v>
      </c>
      <c r="C12" s="5" t="s">
        <v>308</v>
      </c>
      <c r="D12" t="s">
        <v>533</v>
      </c>
      <c r="E12" t="str">
        <f t="shared" si="0"/>
        <v>TOTAL_AVG_SALES_PRICE_RESALE</v>
      </c>
      <c r="F12" t="s">
        <v>531</v>
      </c>
      <c r="H12" t="str">
        <f t="shared" si="1"/>
        <v>ALTER COLUMN "TOTAL_AVG_SALES_PRICE_RESALE" TYPE numeric USING "TOTAL_AVG_SALES_PRICE_RESALE"::numeric,</v>
      </c>
    </row>
    <row r="13" spans="2:8">
      <c r="B13" t="s">
        <v>530</v>
      </c>
      <c r="C13" s="5" t="s">
        <v>309</v>
      </c>
      <c r="D13" t="s">
        <v>533</v>
      </c>
      <c r="E13" t="str">
        <f t="shared" si="0"/>
        <v>TOTAL_AVG_SALES_PRICE_NEW_CONST</v>
      </c>
      <c r="F13" t="s">
        <v>531</v>
      </c>
      <c r="H13" t="str">
        <f t="shared" si="1"/>
        <v>ALTER COLUMN "TOTAL_AVG_SALES_PRICE_NEW_CONST" TYPE numeric USING "TOTAL_AVG_SALES_PRICE_NEW_CONST"::numeric,</v>
      </c>
    </row>
    <row r="14" spans="2:8">
      <c r="B14" t="s">
        <v>530</v>
      </c>
      <c r="C14" s="5" t="s">
        <v>310</v>
      </c>
      <c r="D14" t="s">
        <v>533</v>
      </c>
      <c r="E14" t="str">
        <f t="shared" si="0"/>
        <v>TOTAL_MED_SALES_PRICE</v>
      </c>
      <c r="F14" t="s">
        <v>531</v>
      </c>
      <c r="H14" t="str">
        <f t="shared" si="1"/>
        <v>ALTER COLUMN "TOTAL_MED_SALES_PRICE" TYPE numeric USING "TOTAL_MED_SALES_PRICE"::numeric,</v>
      </c>
    </row>
    <row r="15" spans="2:8">
      <c r="B15" t="s">
        <v>530</v>
      </c>
      <c r="C15" s="5" t="s">
        <v>311</v>
      </c>
      <c r="D15" t="s">
        <v>533</v>
      </c>
      <c r="E15" t="str">
        <f t="shared" si="0"/>
        <v>TOTAL_MED_SALES_PRICE_RESALE</v>
      </c>
      <c r="F15" t="s">
        <v>531</v>
      </c>
      <c r="H15" t="str">
        <f t="shared" si="1"/>
        <v>ALTER COLUMN "TOTAL_MED_SALES_PRICE_RESALE" TYPE numeric USING "TOTAL_MED_SALES_PRICE_RESALE"::numeric,</v>
      </c>
    </row>
    <row r="16" spans="2:8">
      <c r="B16" t="s">
        <v>530</v>
      </c>
      <c r="C16" s="5" t="s">
        <v>312</v>
      </c>
      <c r="D16" t="s">
        <v>533</v>
      </c>
      <c r="E16" t="str">
        <f t="shared" si="0"/>
        <v>TOTAL_MED_SALES_PRICE_NEW_CONST</v>
      </c>
      <c r="F16" t="s">
        <v>531</v>
      </c>
      <c r="H16" t="str">
        <f t="shared" si="1"/>
        <v>ALTER COLUMN "TOTAL_MED_SALES_PRICE_NEW_CONST" TYPE numeric USING "TOTAL_MED_SALES_PRICE_NEW_CONST"::numeric,</v>
      </c>
    </row>
    <row r="17" spans="2:8">
      <c r="B17" t="s">
        <v>530</v>
      </c>
      <c r="C17" s="5" t="s">
        <v>313</v>
      </c>
      <c r="D17" t="s">
        <v>533</v>
      </c>
      <c r="E17" t="str">
        <f t="shared" si="0"/>
        <v>TOTAL_UPPER_QUARTILE_SALES_PRICE</v>
      </c>
      <c r="F17" t="s">
        <v>531</v>
      </c>
      <c r="H17" t="str">
        <f t="shared" si="1"/>
        <v>ALTER COLUMN "TOTAL_UPPER_QUARTILE_SALES_PRICE" TYPE numeric USING "TOTAL_UPPER_QUARTILE_SALES_PRICE"::numeric,</v>
      </c>
    </row>
    <row r="18" spans="2:8">
      <c r="B18" t="s">
        <v>530</v>
      </c>
      <c r="C18" s="5" t="s">
        <v>314</v>
      </c>
      <c r="D18" t="s">
        <v>533</v>
      </c>
      <c r="E18" t="str">
        <f t="shared" si="0"/>
        <v>TOTAL_UPPER_QUARTILE_SALES_PRICE_RESALE</v>
      </c>
      <c r="F18" t="s">
        <v>531</v>
      </c>
      <c r="H18" t="str">
        <f t="shared" si="1"/>
        <v>ALTER COLUMN "TOTAL_UPPER_QUARTILE_SALES_PRICE_RESALE" TYPE numeric USING "TOTAL_UPPER_QUARTILE_SALES_PRICE_RESALE"::numeric,</v>
      </c>
    </row>
    <row r="19" spans="2:8">
      <c r="B19" t="s">
        <v>530</v>
      </c>
      <c r="C19" s="5" t="s">
        <v>315</v>
      </c>
      <c r="D19" t="s">
        <v>533</v>
      </c>
      <c r="E19" t="str">
        <f t="shared" si="0"/>
        <v>TOTAL_UPPER_QUARTILE_SALES_PRICE_NEW_CONST</v>
      </c>
      <c r="F19" t="s">
        <v>531</v>
      </c>
      <c r="H19" t="str">
        <f t="shared" si="1"/>
        <v>ALTER COLUMN "TOTAL_UPPER_QUARTILE_SALES_PRICE_NEW_CONST" TYPE numeric USING "TOTAL_UPPER_QUARTILE_SALES_PRICE_NEW_CONST"::numeric,</v>
      </c>
    </row>
    <row r="20" spans="2:8">
      <c r="B20" t="s">
        <v>530</v>
      </c>
      <c r="C20" s="5" t="s">
        <v>316</v>
      </c>
      <c r="D20" t="s">
        <v>533</v>
      </c>
      <c r="E20" t="str">
        <f t="shared" si="0"/>
        <v>TOTAL_LOWER_QUARTILE_SALES_PRICE</v>
      </c>
      <c r="F20" t="s">
        <v>531</v>
      </c>
      <c r="H20" t="str">
        <f t="shared" si="1"/>
        <v>ALTER COLUMN "TOTAL_LOWER_QUARTILE_SALES_PRICE" TYPE numeric USING "TOTAL_LOWER_QUARTILE_SALES_PRICE"::numeric,</v>
      </c>
    </row>
    <row r="21" spans="2:8">
      <c r="B21" t="s">
        <v>530</v>
      </c>
      <c r="C21" s="5" t="s">
        <v>317</v>
      </c>
      <c r="D21" t="s">
        <v>533</v>
      </c>
      <c r="E21" t="str">
        <f t="shared" si="0"/>
        <v>TOTAL_LOWER_QUARTILE_SALES_PRICE_RESALE</v>
      </c>
      <c r="F21" t="s">
        <v>531</v>
      </c>
      <c r="H21" t="str">
        <f t="shared" si="1"/>
        <v>ALTER COLUMN "TOTAL_LOWER_QUARTILE_SALES_PRICE_RESALE" TYPE numeric USING "TOTAL_LOWER_QUARTILE_SALES_PRICE_RESALE"::numeric,</v>
      </c>
    </row>
    <row r="22" spans="2:8">
      <c r="B22" t="s">
        <v>530</v>
      </c>
      <c r="C22" s="5" t="s">
        <v>318</v>
      </c>
      <c r="D22" t="s">
        <v>533</v>
      </c>
      <c r="E22" t="str">
        <f t="shared" si="0"/>
        <v>TOTAL_LOWER_QUARTILE_SALES_PRICE_NEW_CONST</v>
      </c>
      <c r="F22" t="s">
        <v>531</v>
      </c>
      <c r="H22" t="str">
        <f t="shared" si="1"/>
        <v>ALTER COLUMN "TOTAL_LOWER_QUARTILE_SALES_PRICE_NEW_CONST" TYPE numeric USING "TOTAL_LOWER_QUARTILE_SALES_PRICE_NEW_CONST"::numeric,</v>
      </c>
    </row>
    <row r="23" spans="2:8">
      <c r="B23" t="s">
        <v>530</v>
      </c>
      <c r="C23" s="5" t="s">
        <v>319</v>
      </c>
      <c r="D23" t="s">
        <v>533</v>
      </c>
      <c r="E23" t="str">
        <f t="shared" si="0"/>
        <v>TOTAL_AVG_SQFT</v>
      </c>
      <c r="F23" t="s">
        <v>531</v>
      </c>
      <c r="H23" t="str">
        <f t="shared" si="1"/>
        <v>ALTER COLUMN "TOTAL_AVG_SQFT" TYPE numeric USING "TOTAL_AVG_SQFT"::numeric,</v>
      </c>
    </row>
    <row r="24" spans="2:8">
      <c r="B24" t="s">
        <v>530</v>
      </c>
      <c r="C24" s="5" t="s">
        <v>320</v>
      </c>
      <c r="D24" t="s">
        <v>533</v>
      </c>
      <c r="E24" t="str">
        <f t="shared" si="0"/>
        <v>TOTAL_AVG_SQFT_RESALE</v>
      </c>
      <c r="F24" t="s">
        <v>531</v>
      </c>
      <c r="H24" t="str">
        <f t="shared" si="1"/>
        <v>ALTER COLUMN "TOTAL_AVG_SQFT_RESALE" TYPE numeric USING "TOTAL_AVG_SQFT_RESALE"::numeric,</v>
      </c>
    </row>
    <row r="25" spans="2:8">
      <c r="B25" t="s">
        <v>530</v>
      </c>
      <c r="C25" s="5" t="s">
        <v>321</v>
      </c>
      <c r="D25" t="s">
        <v>533</v>
      </c>
      <c r="E25" t="str">
        <f t="shared" si="0"/>
        <v>TOTAL_AVG_SQFT_NEW_CONST</v>
      </c>
      <c r="F25" t="s">
        <v>531</v>
      </c>
      <c r="H25" t="str">
        <f t="shared" si="1"/>
        <v>ALTER COLUMN "TOTAL_AVG_SQFT_NEW_CONST" TYPE numeric USING "TOTAL_AVG_SQFT_NEW_CONST"::numeric,</v>
      </c>
    </row>
    <row r="26" spans="2:8">
      <c r="B26" t="s">
        <v>530</v>
      </c>
      <c r="C26" s="5" t="s">
        <v>322</v>
      </c>
      <c r="D26" t="s">
        <v>533</v>
      </c>
      <c r="E26" t="str">
        <f t="shared" si="0"/>
        <v>TOTAL_AVG_DOLLAR_PER_SQFT</v>
      </c>
      <c r="F26" t="s">
        <v>531</v>
      </c>
      <c r="H26" t="str">
        <f t="shared" si="1"/>
        <v>ALTER COLUMN "TOTAL_AVG_DOLLAR_PER_SQFT" TYPE numeric USING "TOTAL_AVG_DOLLAR_PER_SQFT"::numeric,</v>
      </c>
    </row>
    <row r="27" spans="2:8">
      <c r="B27" t="s">
        <v>530</v>
      </c>
      <c r="C27" s="5" t="s">
        <v>323</v>
      </c>
      <c r="D27" t="s">
        <v>533</v>
      </c>
      <c r="E27" t="str">
        <f t="shared" si="0"/>
        <v>TOTAL_AVG_DOLLAR_PER_SQFT_RESALE</v>
      </c>
      <c r="F27" t="s">
        <v>531</v>
      </c>
      <c r="H27" t="str">
        <f t="shared" si="1"/>
        <v>ALTER COLUMN "TOTAL_AVG_DOLLAR_PER_SQFT_RESALE" TYPE numeric USING "TOTAL_AVG_DOLLAR_PER_SQFT_RESALE"::numeric,</v>
      </c>
    </row>
    <row r="28" spans="2:8">
      <c r="B28" t="s">
        <v>530</v>
      </c>
      <c r="C28" s="5" t="s">
        <v>324</v>
      </c>
      <c r="D28" t="s">
        <v>533</v>
      </c>
      <c r="E28" t="str">
        <f t="shared" si="0"/>
        <v>TOTAL_AVG_DOLLAR_PER_SQFT_NEW_CONST</v>
      </c>
      <c r="F28" t="s">
        <v>531</v>
      </c>
      <c r="H28" t="str">
        <f t="shared" si="1"/>
        <v>ALTER COLUMN "TOTAL_AVG_DOLLAR_PER_SQFT_NEW_CONST" TYPE numeric USING "TOTAL_AVG_DOLLAR_PER_SQFT_NEW_CONST"::numeric,</v>
      </c>
    </row>
    <row r="29" spans="2:8">
      <c r="B29" t="s">
        <v>530</v>
      </c>
      <c r="C29" s="5" t="s">
        <v>325</v>
      </c>
      <c r="D29" t="s">
        <v>533</v>
      </c>
      <c r="E29" t="str">
        <f t="shared" si="0"/>
        <v>TOTAL_MED_SQFT</v>
      </c>
      <c r="F29" t="s">
        <v>531</v>
      </c>
      <c r="H29" t="str">
        <f t="shared" si="1"/>
        <v>ALTER COLUMN "TOTAL_MED_SQFT" TYPE numeric USING "TOTAL_MED_SQFT"::numeric,</v>
      </c>
    </row>
    <row r="30" spans="2:8">
      <c r="B30" t="s">
        <v>530</v>
      </c>
      <c r="C30" s="5" t="s">
        <v>326</v>
      </c>
      <c r="D30" t="s">
        <v>533</v>
      </c>
      <c r="E30" t="str">
        <f t="shared" si="0"/>
        <v>TOTAL_MED_SQFT_RESALE</v>
      </c>
      <c r="F30" t="s">
        <v>531</v>
      </c>
      <c r="H30" t="str">
        <f t="shared" si="1"/>
        <v>ALTER COLUMN "TOTAL_MED_SQFT_RESALE" TYPE numeric USING "TOTAL_MED_SQFT_RESALE"::numeric,</v>
      </c>
    </row>
    <row r="31" spans="2:8">
      <c r="B31" t="s">
        <v>530</v>
      </c>
      <c r="C31" s="5" t="s">
        <v>327</v>
      </c>
      <c r="D31" t="s">
        <v>533</v>
      </c>
      <c r="E31" t="str">
        <f t="shared" si="0"/>
        <v>TOTAL_MED_SQFT_NEW_CONST</v>
      </c>
      <c r="F31" t="s">
        <v>531</v>
      </c>
      <c r="H31" t="str">
        <f t="shared" si="1"/>
        <v>ALTER COLUMN "TOTAL_MED_SQFT_NEW_CONST" TYPE numeric USING "TOTAL_MED_SQFT_NEW_CONST"::numeric,</v>
      </c>
    </row>
    <row r="32" spans="2:8">
      <c r="B32" t="s">
        <v>530</v>
      </c>
      <c r="C32" s="5" t="s">
        <v>328</v>
      </c>
      <c r="D32" t="s">
        <v>533</v>
      </c>
      <c r="E32" t="str">
        <f t="shared" si="0"/>
        <v>TOTAL_MED_DOLLAR_PER_SQFT</v>
      </c>
      <c r="F32" t="s">
        <v>531</v>
      </c>
      <c r="H32" t="str">
        <f t="shared" si="1"/>
        <v>ALTER COLUMN "TOTAL_MED_DOLLAR_PER_SQFT" TYPE numeric USING "TOTAL_MED_DOLLAR_PER_SQFT"::numeric,</v>
      </c>
    </row>
    <row r="33" spans="2:8">
      <c r="B33" t="s">
        <v>530</v>
      </c>
      <c r="C33" s="5" t="s">
        <v>329</v>
      </c>
      <c r="D33" t="s">
        <v>533</v>
      </c>
      <c r="E33" t="str">
        <f t="shared" si="0"/>
        <v>TOTAL_MED_DOLLAR_PER_SQFT_RESALE</v>
      </c>
      <c r="F33" t="s">
        <v>531</v>
      </c>
      <c r="H33" t="str">
        <f t="shared" si="1"/>
        <v>ALTER COLUMN "TOTAL_MED_DOLLAR_PER_SQFT_RESALE" TYPE numeric USING "TOTAL_MED_DOLLAR_PER_SQFT_RESALE"::numeric,</v>
      </c>
    </row>
    <row r="34" spans="2:8">
      <c r="B34" t="s">
        <v>530</v>
      </c>
      <c r="C34" s="5" t="s">
        <v>330</v>
      </c>
      <c r="D34" t="s">
        <v>533</v>
      </c>
      <c r="E34" t="str">
        <f t="shared" si="0"/>
        <v>TOTAL_MED_DOLLAR_PER_SQFT_NEW_CONST</v>
      </c>
      <c r="F34" t="s">
        <v>531</v>
      </c>
      <c r="H34" t="str">
        <f t="shared" si="1"/>
        <v>ALTER COLUMN "TOTAL_MED_DOLLAR_PER_SQFT_NEW_CONST" TYPE numeric USING "TOTAL_MED_DOLLAR_PER_SQFT_NEW_CONST"::numeric,</v>
      </c>
    </row>
    <row r="35" spans="2:8">
      <c r="B35" t="s">
        <v>530</v>
      </c>
      <c r="C35" s="5" t="s">
        <v>331</v>
      </c>
      <c r="D35" t="s">
        <v>533</v>
      </c>
      <c r="E35" t="str">
        <f t="shared" si="0"/>
        <v>TOTAL_12_MONTH_PRICE_CHANGE</v>
      </c>
      <c r="F35" t="s">
        <v>531</v>
      </c>
      <c r="H35" t="str">
        <f t="shared" si="1"/>
        <v>ALTER COLUMN "TOTAL_12_MONTH_PRICE_CHANGE" TYPE numeric USING "TOTAL_12_MONTH_PRICE_CHANGE"::numeric,</v>
      </c>
    </row>
    <row r="36" spans="2:8">
      <c r="B36" t="s">
        <v>530</v>
      </c>
      <c r="C36" s="5" t="s">
        <v>332</v>
      </c>
      <c r="D36" t="s">
        <v>533</v>
      </c>
      <c r="E36" t="str">
        <f t="shared" si="0"/>
        <v>TOTAL_12_MONTH_PRICE_CHANGE_RESALE</v>
      </c>
      <c r="F36" t="s">
        <v>531</v>
      </c>
      <c r="H36" t="str">
        <f t="shared" si="1"/>
        <v>ALTER COLUMN "TOTAL_12_MONTH_PRICE_CHANGE_RESALE" TYPE numeric USING "TOTAL_12_MONTH_PRICE_CHANGE_RESALE"::numeric,</v>
      </c>
    </row>
    <row r="37" spans="2:8">
      <c r="B37" t="s">
        <v>530</v>
      </c>
      <c r="C37" s="5" t="s">
        <v>333</v>
      </c>
      <c r="D37" t="s">
        <v>533</v>
      </c>
      <c r="E37" t="str">
        <f t="shared" si="0"/>
        <v>TOTAL_12_MONTH_PRICE_CHANGE_NEW_CONST</v>
      </c>
      <c r="F37" t="s">
        <v>531</v>
      </c>
      <c r="H37" t="str">
        <f t="shared" si="1"/>
        <v>ALTER COLUMN "TOTAL_12_MONTH_PRICE_CHANGE_NEW_CONST" TYPE numeric USING "TOTAL_12_MONTH_PRICE_CHANGE_NEW_CONST"::numeric,</v>
      </c>
    </row>
    <row r="38" spans="2:8">
      <c r="B38" t="s">
        <v>530</v>
      </c>
      <c r="C38" s="5" t="s">
        <v>334</v>
      </c>
      <c r="D38" t="s">
        <v>533</v>
      </c>
      <c r="E38" t="str">
        <f t="shared" si="0"/>
        <v>TOTAL_OWNER_OCCUPIED_SALES</v>
      </c>
      <c r="F38" t="s">
        <v>531</v>
      </c>
      <c r="H38" t="str">
        <f t="shared" si="1"/>
        <v>ALTER COLUMN "TOTAL_OWNER_OCCUPIED_SALES" TYPE numeric USING "TOTAL_OWNER_OCCUPIED_SALES"::numeric,</v>
      </c>
    </row>
    <row r="39" spans="2:8">
      <c r="B39" t="s">
        <v>530</v>
      </c>
      <c r="C39" s="5" t="s">
        <v>335</v>
      </c>
      <c r="D39" t="s">
        <v>533</v>
      </c>
      <c r="E39" t="str">
        <f t="shared" si="0"/>
        <v>TOTAL_NON_OWNER_OCCUPIED_SALES</v>
      </c>
      <c r="F39" t="s">
        <v>531</v>
      </c>
      <c r="H39" t="str">
        <f t="shared" si="1"/>
        <v>ALTER COLUMN "TOTAL_NON_OWNER_OCCUPIED_SALES" TYPE numeric USING "TOTAL_NON_OWNER_OCCUPIED_SALES"::numeric,</v>
      </c>
    </row>
    <row r="40" spans="2:8">
      <c r="B40" t="s">
        <v>530</v>
      </c>
      <c r="C40" s="5" t="s">
        <v>336</v>
      </c>
      <c r="D40" t="s">
        <v>533</v>
      </c>
      <c r="E40" t="str">
        <f t="shared" si="0"/>
        <v>TOTAL_OWNER_OCCUPIED_AVG_SALES_PRICE</v>
      </c>
      <c r="F40" t="s">
        <v>531</v>
      </c>
      <c r="H40" t="str">
        <f t="shared" si="1"/>
        <v>ALTER COLUMN "TOTAL_OWNER_OCCUPIED_AVG_SALES_PRICE" TYPE numeric USING "TOTAL_OWNER_OCCUPIED_AVG_SALES_PRICE"::numeric,</v>
      </c>
    </row>
    <row r="41" spans="2:8">
      <c r="B41" t="s">
        <v>530</v>
      </c>
      <c r="C41" s="5" t="s">
        <v>337</v>
      </c>
      <c r="D41" t="s">
        <v>533</v>
      </c>
      <c r="E41" t="str">
        <f t="shared" si="0"/>
        <v>TOTAL_NON_OWNER_OCCUPIED_AVG_SALES_PRICE</v>
      </c>
      <c r="F41" t="s">
        <v>531</v>
      </c>
      <c r="H41" t="str">
        <f t="shared" si="1"/>
        <v>ALTER COLUMN "TOTAL_NON_OWNER_OCCUPIED_AVG_SALES_PRICE" TYPE numeric USING "TOTAL_NON_OWNER_OCCUPIED_AVG_SALES_PRICE"::numeric,</v>
      </c>
    </row>
    <row r="42" spans="2:8">
      <c r="B42" t="s">
        <v>530</v>
      </c>
      <c r="C42" s="5" t="s">
        <v>338</v>
      </c>
      <c r="D42" t="s">
        <v>533</v>
      </c>
      <c r="E42" t="str">
        <f t="shared" si="0"/>
        <v>TOTAL_OWNER_OCCUPIED_MED_SALES_PRICE</v>
      </c>
      <c r="F42" t="s">
        <v>531</v>
      </c>
      <c r="H42" t="str">
        <f t="shared" si="1"/>
        <v>ALTER COLUMN "TOTAL_OWNER_OCCUPIED_MED_SALES_PRICE" TYPE numeric USING "TOTAL_OWNER_OCCUPIED_MED_SALES_PRICE"::numeric,</v>
      </c>
    </row>
    <row r="43" spans="2:8">
      <c r="B43" t="s">
        <v>530</v>
      </c>
      <c r="C43" s="5" t="s">
        <v>339</v>
      </c>
      <c r="D43" t="s">
        <v>533</v>
      </c>
      <c r="E43" t="str">
        <f t="shared" si="0"/>
        <v>TOTAL_NON_OWNER_OCCUPIED_MED_SALES_PRICE</v>
      </c>
      <c r="F43" t="s">
        <v>531</v>
      </c>
      <c r="H43" t="str">
        <f t="shared" si="1"/>
        <v>ALTER COLUMN "TOTAL_NON_OWNER_OCCUPIED_MED_SALES_PRICE" TYPE numeric USING "TOTAL_NON_OWNER_OCCUPIED_MED_SALES_PRICE"::numeric,</v>
      </c>
    </row>
    <row r="44" spans="2:8">
      <c r="B44" t="s">
        <v>530</v>
      </c>
      <c r="C44" s="5" t="s">
        <v>340</v>
      </c>
      <c r="D44" t="s">
        <v>533</v>
      </c>
      <c r="E44" t="str">
        <f t="shared" si="0"/>
        <v>TOTAL_SALES_BY_PRICE_RANGE_Under $250K</v>
      </c>
      <c r="F44" t="s">
        <v>531</v>
      </c>
      <c r="H44" t="str">
        <f t="shared" si="1"/>
        <v>ALTER COLUMN "TOTAL_SALES_BY_PRICE_RANGE_Under $250K" TYPE numeric USING "TOTAL_SALES_BY_PRICE_RANGE_Under $250K"::numeric,</v>
      </c>
    </row>
    <row r="45" spans="2:8">
      <c r="B45" t="s">
        <v>530</v>
      </c>
      <c r="C45" s="5" t="s">
        <v>341</v>
      </c>
      <c r="D45" t="s">
        <v>533</v>
      </c>
      <c r="E45" t="str">
        <f t="shared" si="0"/>
        <v>TOTAL_SALES_BY_PRICE_RANGE_$250K-$500K</v>
      </c>
      <c r="F45" t="s">
        <v>531</v>
      </c>
      <c r="H45" t="str">
        <f t="shared" si="1"/>
        <v>ALTER COLUMN "TOTAL_SALES_BY_PRICE_RANGE_$250K-$500K" TYPE numeric USING "TOTAL_SALES_BY_PRICE_RANGE_$250K-$500K"::numeric,</v>
      </c>
    </row>
    <row r="46" spans="2:8">
      <c r="B46" t="s">
        <v>530</v>
      </c>
      <c r="C46" s="5" t="s">
        <v>342</v>
      </c>
      <c r="D46" t="s">
        <v>533</v>
      </c>
      <c r="E46" t="str">
        <f t="shared" si="0"/>
        <v>TOTAL_SALES_BY_PRICE_RANGE_$500K-$750K</v>
      </c>
      <c r="F46" t="s">
        <v>531</v>
      </c>
      <c r="H46" t="str">
        <f t="shared" si="1"/>
        <v>ALTER COLUMN "TOTAL_SALES_BY_PRICE_RANGE_$500K-$750K" TYPE numeric USING "TOTAL_SALES_BY_PRICE_RANGE_$500K-$750K"::numeric,</v>
      </c>
    </row>
    <row r="47" spans="2:8">
      <c r="B47" t="s">
        <v>530</v>
      </c>
      <c r="C47" s="5" t="s">
        <v>343</v>
      </c>
      <c r="D47" t="s">
        <v>533</v>
      </c>
      <c r="E47" t="str">
        <f t="shared" si="0"/>
        <v>TOTAL_SALES_BY_PRICE_RANGE_$750K-$1M</v>
      </c>
      <c r="F47" t="s">
        <v>531</v>
      </c>
      <c r="H47" t="str">
        <f t="shared" si="1"/>
        <v>ALTER COLUMN "TOTAL_SALES_BY_PRICE_RANGE_$750K-$1M" TYPE numeric USING "TOTAL_SALES_BY_PRICE_RANGE_$750K-$1M"::numeric,</v>
      </c>
    </row>
    <row r="48" spans="2:8">
      <c r="B48" t="s">
        <v>530</v>
      </c>
      <c r="C48" s="5" t="s">
        <v>344</v>
      </c>
      <c r="D48" t="s">
        <v>533</v>
      </c>
      <c r="E48" t="str">
        <f t="shared" si="0"/>
        <v>TOTAL_SALES_BY_PRICE_RANGE_$1M-$1.5M</v>
      </c>
      <c r="F48" t="s">
        <v>531</v>
      </c>
      <c r="H48" t="str">
        <f t="shared" si="1"/>
        <v>ALTER COLUMN "TOTAL_SALES_BY_PRICE_RANGE_$1M-$1.5M" TYPE numeric USING "TOTAL_SALES_BY_PRICE_RANGE_$1M-$1.5M"::numeric,</v>
      </c>
    </row>
    <row r="49" spans="2:8">
      <c r="B49" t="s">
        <v>530</v>
      </c>
      <c r="C49" s="5" t="s">
        <v>345</v>
      </c>
      <c r="D49" t="s">
        <v>533</v>
      </c>
      <c r="E49" t="str">
        <f t="shared" si="0"/>
        <v>TOTAL_SALES_BY_PRICE_RANGE_$1.5M-$2.0M</v>
      </c>
      <c r="F49" t="s">
        <v>531</v>
      </c>
      <c r="H49" t="str">
        <f t="shared" si="1"/>
        <v>ALTER COLUMN "TOTAL_SALES_BY_PRICE_RANGE_$1.5M-$2.0M" TYPE numeric USING "TOTAL_SALES_BY_PRICE_RANGE_$1.5M-$2.0M"::numeric,</v>
      </c>
    </row>
    <row r="50" spans="2:8">
      <c r="B50" t="s">
        <v>530</v>
      </c>
      <c r="C50" s="5" t="s">
        <v>346</v>
      </c>
      <c r="D50" t="s">
        <v>533</v>
      </c>
      <c r="E50" t="str">
        <f t="shared" si="0"/>
        <v>TOTAL_SALES_BY_PRICE_RANGE_$2M-$3M</v>
      </c>
      <c r="F50" t="s">
        <v>531</v>
      </c>
      <c r="H50" t="str">
        <f t="shared" si="1"/>
        <v>ALTER COLUMN "TOTAL_SALES_BY_PRICE_RANGE_$2M-$3M" TYPE numeric USING "TOTAL_SALES_BY_PRICE_RANGE_$2M-$3M"::numeric,</v>
      </c>
    </row>
    <row r="51" spans="2:8">
      <c r="B51" t="s">
        <v>530</v>
      </c>
      <c r="C51" s="5" t="s">
        <v>347</v>
      </c>
      <c r="D51" t="s">
        <v>533</v>
      </c>
      <c r="E51" t="str">
        <f t="shared" si="0"/>
        <v>TOTAL_SALES_BY_PRICE_RANGE_$3M-$5M</v>
      </c>
      <c r="F51" t="s">
        <v>531</v>
      </c>
      <c r="H51" t="str">
        <f t="shared" si="1"/>
        <v>ALTER COLUMN "TOTAL_SALES_BY_PRICE_RANGE_$3M-$5M" TYPE numeric USING "TOTAL_SALES_BY_PRICE_RANGE_$3M-$5M"::numeric,</v>
      </c>
    </row>
    <row r="52" spans="2:8">
      <c r="B52" t="s">
        <v>530</v>
      </c>
      <c r="C52" s="5" t="s">
        <v>348</v>
      </c>
      <c r="D52" t="s">
        <v>533</v>
      </c>
      <c r="E52" t="str">
        <f t="shared" si="0"/>
        <v>TOTAL_SALES_BY_PRICE_RANGE_Over $5M</v>
      </c>
      <c r="F52" t="s">
        <v>531</v>
      </c>
      <c r="H52" t="str">
        <f t="shared" si="1"/>
        <v>ALTER COLUMN "TOTAL_SALES_BY_PRICE_RANGE_Over $5M" TYPE numeric USING "TOTAL_SALES_BY_PRICE_RANGE_Over $5M"::numeric,</v>
      </c>
    </row>
    <row r="53" spans="2:8">
      <c r="B53" t="s">
        <v>530</v>
      </c>
      <c r="C53" s="5" t="s">
        <v>349</v>
      </c>
      <c r="D53" t="s">
        <v>533</v>
      </c>
      <c r="E53" t="str">
        <f t="shared" si="0"/>
        <v>CONDO_TOTAL_SALES</v>
      </c>
      <c r="F53" t="s">
        <v>531</v>
      </c>
      <c r="H53" t="str">
        <f t="shared" si="1"/>
        <v>ALTER COLUMN "CONDO_TOTAL_SALES" TYPE numeric USING "CONDO_TOTAL_SALES"::numeric,</v>
      </c>
    </row>
    <row r="54" spans="2:8">
      <c r="B54" t="s">
        <v>530</v>
      </c>
      <c r="C54" s="5" t="s">
        <v>350</v>
      </c>
      <c r="D54" t="s">
        <v>533</v>
      </c>
      <c r="E54" t="str">
        <f t="shared" si="0"/>
        <v>CONDO_TOTAL_SALES_RESALE</v>
      </c>
      <c r="F54" t="s">
        <v>531</v>
      </c>
      <c r="H54" t="str">
        <f t="shared" si="1"/>
        <v>ALTER COLUMN "CONDO_TOTAL_SALES_RESALE" TYPE numeric USING "CONDO_TOTAL_SALES_RESALE"::numeric,</v>
      </c>
    </row>
    <row r="55" spans="2:8">
      <c r="B55" t="s">
        <v>530</v>
      </c>
      <c r="C55" s="5" t="s">
        <v>351</v>
      </c>
      <c r="D55" t="s">
        <v>533</v>
      </c>
      <c r="E55" t="str">
        <f t="shared" si="0"/>
        <v>CONDO_TOTAL_SALES_NEW_CONST</v>
      </c>
      <c r="F55" t="s">
        <v>531</v>
      </c>
      <c r="H55" t="str">
        <f t="shared" si="1"/>
        <v>ALTER COLUMN "CONDO_TOTAL_SALES_NEW_CONST" TYPE numeric USING "CONDO_TOTAL_SALES_NEW_CONST"::numeric,</v>
      </c>
    </row>
    <row r="56" spans="2:8">
      <c r="B56" t="s">
        <v>530</v>
      </c>
      <c r="C56" s="5" t="s">
        <v>352</v>
      </c>
      <c r="D56" t="s">
        <v>533</v>
      </c>
      <c r="E56" t="str">
        <f t="shared" si="0"/>
        <v>CONDO_AVG_SALES_PRICE</v>
      </c>
      <c r="F56" t="s">
        <v>531</v>
      </c>
      <c r="H56" t="str">
        <f t="shared" si="1"/>
        <v>ALTER COLUMN "CONDO_AVG_SALES_PRICE" TYPE numeric USING "CONDO_AVG_SALES_PRICE"::numeric,</v>
      </c>
    </row>
    <row r="57" spans="2:8">
      <c r="B57" t="s">
        <v>530</v>
      </c>
      <c r="C57" s="5" t="s">
        <v>353</v>
      </c>
      <c r="D57" t="s">
        <v>533</v>
      </c>
      <c r="E57" t="str">
        <f t="shared" si="0"/>
        <v>CONDO_AVG_SALES_PRICE_RESALE</v>
      </c>
      <c r="F57" t="s">
        <v>531</v>
      </c>
      <c r="H57" t="str">
        <f t="shared" si="1"/>
        <v>ALTER COLUMN "CONDO_AVG_SALES_PRICE_RESALE" TYPE numeric USING "CONDO_AVG_SALES_PRICE_RESALE"::numeric,</v>
      </c>
    </row>
    <row r="58" spans="2:8">
      <c r="B58" t="s">
        <v>530</v>
      </c>
      <c r="C58" s="5" t="s">
        <v>354</v>
      </c>
      <c r="D58" t="s">
        <v>533</v>
      </c>
      <c r="E58" t="str">
        <f t="shared" si="0"/>
        <v>CONDO_AVG_SALES_PRICE_NEW_CONST</v>
      </c>
      <c r="F58" t="s">
        <v>531</v>
      </c>
      <c r="H58" t="str">
        <f t="shared" si="1"/>
        <v>ALTER COLUMN "CONDO_AVG_SALES_PRICE_NEW_CONST" TYPE numeric USING "CONDO_AVG_SALES_PRICE_NEW_CONST"::numeric,</v>
      </c>
    </row>
    <row r="59" spans="2:8">
      <c r="B59" t="s">
        <v>530</v>
      </c>
      <c r="C59" s="5" t="s">
        <v>355</v>
      </c>
      <c r="D59" t="s">
        <v>533</v>
      </c>
      <c r="E59" t="str">
        <f t="shared" si="0"/>
        <v>CONDO_MED_SALES_PRICE</v>
      </c>
      <c r="F59" t="s">
        <v>531</v>
      </c>
      <c r="H59" t="str">
        <f t="shared" si="1"/>
        <v>ALTER COLUMN "CONDO_MED_SALES_PRICE" TYPE numeric USING "CONDO_MED_SALES_PRICE"::numeric,</v>
      </c>
    </row>
    <row r="60" spans="2:8">
      <c r="B60" t="s">
        <v>530</v>
      </c>
      <c r="C60" s="5" t="s">
        <v>356</v>
      </c>
      <c r="D60" t="s">
        <v>533</v>
      </c>
      <c r="E60" t="str">
        <f t="shared" si="0"/>
        <v>CONDO_MED_SALES_PRICE_RESALE</v>
      </c>
      <c r="F60" t="s">
        <v>531</v>
      </c>
      <c r="H60" t="str">
        <f t="shared" si="1"/>
        <v>ALTER COLUMN "CONDO_MED_SALES_PRICE_RESALE" TYPE numeric USING "CONDO_MED_SALES_PRICE_RESALE"::numeric,</v>
      </c>
    </row>
    <row r="61" spans="2:8">
      <c r="B61" t="s">
        <v>530</v>
      </c>
      <c r="C61" s="5" t="s">
        <v>357</v>
      </c>
      <c r="D61" t="s">
        <v>533</v>
      </c>
      <c r="E61" t="str">
        <f t="shared" si="0"/>
        <v>CONDO_MED_SALES_PRICE_NEW_CONST</v>
      </c>
      <c r="F61" t="s">
        <v>531</v>
      </c>
      <c r="H61" t="str">
        <f t="shared" si="1"/>
        <v>ALTER COLUMN "CONDO_MED_SALES_PRICE_NEW_CONST" TYPE numeric USING "CONDO_MED_SALES_PRICE_NEW_CONST"::numeric,</v>
      </c>
    </row>
    <row r="62" spans="2:8">
      <c r="B62" t="s">
        <v>530</v>
      </c>
      <c r="C62" s="5" t="s">
        <v>358</v>
      </c>
      <c r="D62" t="s">
        <v>533</v>
      </c>
      <c r="E62" t="str">
        <f t="shared" si="0"/>
        <v>CONDO_UPPER_QUARTILE_SALES_PRICE</v>
      </c>
      <c r="F62" t="s">
        <v>531</v>
      </c>
      <c r="H62" t="str">
        <f t="shared" si="1"/>
        <v>ALTER COLUMN "CONDO_UPPER_QUARTILE_SALES_PRICE" TYPE numeric USING "CONDO_UPPER_QUARTILE_SALES_PRICE"::numeric,</v>
      </c>
    </row>
    <row r="63" spans="2:8">
      <c r="B63" t="s">
        <v>530</v>
      </c>
      <c r="C63" s="5" t="s">
        <v>359</v>
      </c>
      <c r="D63" t="s">
        <v>533</v>
      </c>
      <c r="E63" t="str">
        <f t="shared" si="0"/>
        <v>CONDO_UPPER_QUARTILE_SALES_PRICE_RESALE</v>
      </c>
      <c r="F63" t="s">
        <v>531</v>
      </c>
      <c r="H63" t="str">
        <f t="shared" si="1"/>
        <v>ALTER COLUMN "CONDO_UPPER_QUARTILE_SALES_PRICE_RESALE" TYPE numeric USING "CONDO_UPPER_QUARTILE_SALES_PRICE_RESALE"::numeric,</v>
      </c>
    </row>
    <row r="64" spans="2:8">
      <c r="B64" t="s">
        <v>530</v>
      </c>
      <c r="C64" s="5" t="s">
        <v>360</v>
      </c>
      <c r="D64" t="s">
        <v>533</v>
      </c>
      <c r="E64" t="str">
        <f t="shared" si="0"/>
        <v>CONDO_UPPER_QUARTILE_SALES_PRICE_NEW_CONST</v>
      </c>
      <c r="F64" t="s">
        <v>531</v>
      </c>
      <c r="H64" t="str">
        <f t="shared" si="1"/>
        <v>ALTER COLUMN "CONDO_UPPER_QUARTILE_SALES_PRICE_NEW_CONST" TYPE numeric USING "CONDO_UPPER_QUARTILE_SALES_PRICE_NEW_CONST"::numeric,</v>
      </c>
    </row>
    <row r="65" spans="2:8">
      <c r="B65" t="s">
        <v>530</v>
      </c>
      <c r="C65" s="5" t="s">
        <v>361</v>
      </c>
      <c r="D65" t="s">
        <v>533</v>
      </c>
      <c r="E65" t="str">
        <f t="shared" si="0"/>
        <v>CONDO_LOWER_QUARTILE_SALES_PRICE</v>
      </c>
      <c r="F65" t="s">
        <v>531</v>
      </c>
      <c r="H65" t="str">
        <f t="shared" si="1"/>
        <v>ALTER COLUMN "CONDO_LOWER_QUARTILE_SALES_PRICE" TYPE numeric USING "CONDO_LOWER_QUARTILE_SALES_PRICE"::numeric,</v>
      </c>
    </row>
    <row r="66" spans="2:8">
      <c r="B66" t="s">
        <v>530</v>
      </c>
      <c r="C66" s="5" t="s">
        <v>362</v>
      </c>
      <c r="D66" t="s">
        <v>533</v>
      </c>
      <c r="E66" t="str">
        <f t="shared" si="0"/>
        <v>CONDO_LOWER_QUARTILE_SALES_PRICE_RESALE</v>
      </c>
      <c r="F66" t="s">
        <v>531</v>
      </c>
      <c r="H66" t="str">
        <f t="shared" si="1"/>
        <v>ALTER COLUMN "CONDO_LOWER_QUARTILE_SALES_PRICE_RESALE" TYPE numeric USING "CONDO_LOWER_QUARTILE_SALES_PRICE_RESALE"::numeric,</v>
      </c>
    </row>
    <row r="67" spans="2:8">
      <c r="B67" t="s">
        <v>530</v>
      </c>
      <c r="C67" s="5" t="s">
        <v>363</v>
      </c>
      <c r="D67" t="s">
        <v>533</v>
      </c>
      <c r="E67" t="str">
        <f t="shared" si="0"/>
        <v>CONDO_LOWER_QUARTILE_SALES_PRICE_NEW_CONST</v>
      </c>
      <c r="F67" t="s">
        <v>531</v>
      </c>
      <c r="H67" t="str">
        <f t="shared" si="1"/>
        <v>ALTER COLUMN "CONDO_LOWER_QUARTILE_SALES_PRICE_NEW_CONST" TYPE numeric USING "CONDO_LOWER_QUARTILE_SALES_PRICE_NEW_CONST"::numeric,</v>
      </c>
    </row>
    <row r="68" spans="2:8">
      <c r="B68" t="s">
        <v>530</v>
      </c>
      <c r="C68" s="5" t="s">
        <v>364</v>
      </c>
      <c r="D68" t="s">
        <v>533</v>
      </c>
      <c r="E68" t="str">
        <f t="shared" si="0"/>
        <v>CONDO_AVG_SQFT</v>
      </c>
      <c r="F68" t="s">
        <v>531</v>
      </c>
      <c r="H68" t="str">
        <f t="shared" si="1"/>
        <v>ALTER COLUMN "CONDO_AVG_SQFT" TYPE numeric USING "CONDO_AVG_SQFT"::numeric,</v>
      </c>
    </row>
    <row r="69" spans="2:8">
      <c r="B69" t="s">
        <v>530</v>
      </c>
      <c r="C69" s="5" t="s">
        <v>365</v>
      </c>
      <c r="D69" t="s">
        <v>533</v>
      </c>
      <c r="E69" t="str">
        <f t="shared" si="0"/>
        <v>CONDO_AVG_SQFT_RESALE</v>
      </c>
      <c r="F69" t="s">
        <v>531</v>
      </c>
      <c r="H69" t="str">
        <f t="shared" si="1"/>
        <v>ALTER COLUMN "CONDO_AVG_SQFT_RESALE" TYPE numeric USING "CONDO_AVG_SQFT_RESALE"::numeric,</v>
      </c>
    </row>
    <row r="70" spans="2:8">
      <c r="B70" t="s">
        <v>530</v>
      </c>
      <c r="C70" s="5" t="s">
        <v>366</v>
      </c>
      <c r="D70" t="s">
        <v>533</v>
      </c>
      <c r="E70" t="str">
        <f t="shared" si="0"/>
        <v>CONDO_AVG_SQFT_NEW_CONST</v>
      </c>
      <c r="F70" t="s">
        <v>531</v>
      </c>
      <c r="H70" t="str">
        <f t="shared" si="1"/>
        <v>ALTER COLUMN "CONDO_AVG_SQFT_NEW_CONST" TYPE numeric USING "CONDO_AVG_SQFT_NEW_CONST"::numeric,</v>
      </c>
    </row>
    <row r="71" spans="2:8">
      <c r="B71" t="s">
        <v>530</v>
      </c>
      <c r="C71" s="5" t="s">
        <v>367</v>
      </c>
      <c r="D71" t="s">
        <v>533</v>
      </c>
      <c r="E71" t="str">
        <f t="shared" si="0"/>
        <v>CONDO_AVG_DOLLAR_PER_SQFT</v>
      </c>
      <c r="F71" t="s">
        <v>531</v>
      </c>
      <c r="H71" t="str">
        <f t="shared" si="1"/>
        <v>ALTER COLUMN "CONDO_AVG_DOLLAR_PER_SQFT" TYPE numeric USING "CONDO_AVG_DOLLAR_PER_SQFT"::numeric,</v>
      </c>
    </row>
    <row r="72" spans="2:8">
      <c r="B72" t="s">
        <v>530</v>
      </c>
      <c r="C72" s="5" t="s">
        <v>368</v>
      </c>
      <c r="D72" t="s">
        <v>533</v>
      </c>
      <c r="E72" t="str">
        <f t="shared" si="0"/>
        <v>CONDO_AVG_DOLLAR_PER_SQFT_RESALE</v>
      </c>
      <c r="F72" t="s">
        <v>531</v>
      </c>
      <c r="H72" t="str">
        <f t="shared" si="1"/>
        <v>ALTER COLUMN "CONDO_AVG_DOLLAR_PER_SQFT_RESALE" TYPE numeric USING "CONDO_AVG_DOLLAR_PER_SQFT_RESALE"::numeric,</v>
      </c>
    </row>
    <row r="73" spans="2:8">
      <c r="B73" t="s">
        <v>530</v>
      </c>
      <c r="C73" s="5" t="s">
        <v>369</v>
      </c>
      <c r="D73" t="s">
        <v>533</v>
      </c>
      <c r="E73" t="str">
        <f t="shared" ref="E73:E136" si="2">C73</f>
        <v>CONDO_AVG_DOLLAR_PER_SQFT_NEW_CONST</v>
      </c>
      <c r="F73" t="s">
        <v>531</v>
      </c>
      <c r="H73" t="str">
        <f t="shared" ref="H73:H136" si="3">_xlfn.CONCAT(B73:F73)</f>
        <v>ALTER COLUMN "CONDO_AVG_DOLLAR_PER_SQFT_NEW_CONST" TYPE numeric USING "CONDO_AVG_DOLLAR_PER_SQFT_NEW_CONST"::numeric,</v>
      </c>
    </row>
    <row r="74" spans="2:8">
      <c r="B74" t="s">
        <v>530</v>
      </c>
      <c r="C74" s="5" t="s">
        <v>370</v>
      </c>
      <c r="D74" t="s">
        <v>533</v>
      </c>
      <c r="E74" t="str">
        <f t="shared" si="2"/>
        <v>CONDO_MED_SQFT</v>
      </c>
      <c r="F74" t="s">
        <v>531</v>
      </c>
      <c r="H74" t="str">
        <f t="shared" si="3"/>
        <v>ALTER COLUMN "CONDO_MED_SQFT" TYPE numeric USING "CONDO_MED_SQFT"::numeric,</v>
      </c>
    </row>
    <row r="75" spans="2:8">
      <c r="B75" t="s">
        <v>530</v>
      </c>
      <c r="C75" s="5" t="s">
        <v>371</v>
      </c>
      <c r="D75" t="s">
        <v>533</v>
      </c>
      <c r="E75" t="str">
        <f t="shared" si="2"/>
        <v>CONDO_MED_SQFT_RESALE</v>
      </c>
      <c r="F75" t="s">
        <v>531</v>
      </c>
      <c r="H75" t="str">
        <f t="shared" si="3"/>
        <v>ALTER COLUMN "CONDO_MED_SQFT_RESALE" TYPE numeric USING "CONDO_MED_SQFT_RESALE"::numeric,</v>
      </c>
    </row>
    <row r="76" spans="2:8">
      <c r="B76" t="s">
        <v>530</v>
      </c>
      <c r="C76" s="5" t="s">
        <v>372</v>
      </c>
      <c r="D76" t="s">
        <v>533</v>
      </c>
      <c r="E76" t="str">
        <f t="shared" si="2"/>
        <v>CONDO_MED_SQFT_NEW_CONST</v>
      </c>
      <c r="F76" t="s">
        <v>531</v>
      </c>
      <c r="H76" t="str">
        <f t="shared" si="3"/>
        <v>ALTER COLUMN "CONDO_MED_SQFT_NEW_CONST" TYPE numeric USING "CONDO_MED_SQFT_NEW_CONST"::numeric,</v>
      </c>
    </row>
    <row r="77" spans="2:8">
      <c r="B77" t="s">
        <v>530</v>
      </c>
      <c r="C77" s="5" t="s">
        <v>373</v>
      </c>
      <c r="D77" t="s">
        <v>533</v>
      </c>
      <c r="E77" t="str">
        <f t="shared" si="2"/>
        <v>CONDO_MED_DOLLAR_PER_SQFT</v>
      </c>
      <c r="F77" t="s">
        <v>531</v>
      </c>
      <c r="H77" t="str">
        <f t="shared" si="3"/>
        <v>ALTER COLUMN "CONDO_MED_DOLLAR_PER_SQFT" TYPE numeric USING "CONDO_MED_DOLLAR_PER_SQFT"::numeric,</v>
      </c>
    </row>
    <row r="78" spans="2:8">
      <c r="B78" t="s">
        <v>530</v>
      </c>
      <c r="C78" s="5" t="s">
        <v>374</v>
      </c>
      <c r="D78" t="s">
        <v>533</v>
      </c>
      <c r="E78" t="str">
        <f t="shared" si="2"/>
        <v>CONDO_MED_DOLLAR_PER_SQFT_RESALE</v>
      </c>
      <c r="F78" t="s">
        <v>531</v>
      </c>
      <c r="H78" t="str">
        <f t="shared" si="3"/>
        <v>ALTER COLUMN "CONDO_MED_DOLLAR_PER_SQFT_RESALE" TYPE numeric USING "CONDO_MED_DOLLAR_PER_SQFT_RESALE"::numeric,</v>
      </c>
    </row>
    <row r="79" spans="2:8">
      <c r="B79" t="s">
        <v>530</v>
      </c>
      <c r="C79" s="5" t="s">
        <v>375</v>
      </c>
      <c r="D79" t="s">
        <v>533</v>
      </c>
      <c r="E79" t="str">
        <f t="shared" si="2"/>
        <v>CONDO_MED_DOLLAR_PER_SQFT_NEW_CONST</v>
      </c>
      <c r="F79" t="s">
        <v>531</v>
      </c>
      <c r="H79" t="str">
        <f t="shared" si="3"/>
        <v>ALTER COLUMN "CONDO_MED_DOLLAR_PER_SQFT_NEW_CONST" TYPE numeric USING "CONDO_MED_DOLLAR_PER_SQFT_NEW_CONST"::numeric,</v>
      </c>
    </row>
    <row r="80" spans="2:8">
      <c r="B80" t="s">
        <v>530</v>
      </c>
      <c r="C80" s="5" t="s">
        <v>376</v>
      </c>
      <c r="D80" t="s">
        <v>533</v>
      </c>
      <c r="E80" t="str">
        <f t="shared" si="2"/>
        <v>CONDO_12_MONTH_PRICE_CHANGE</v>
      </c>
      <c r="F80" t="s">
        <v>531</v>
      </c>
      <c r="H80" t="str">
        <f t="shared" si="3"/>
        <v>ALTER COLUMN "CONDO_12_MONTH_PRICE_CHANGE" TYPE numeric USING "CONDO_12_MONTH_PRICE_CHANGE"::numeric,</v>
      </c>
    </row>
    <row r="81" spans="2:8">
      <c r="B81" t="s">
        <v>530</v>
      </c>
      <c r="C81" s="5" t="s">
        <v>377</v>
      </c>
      <c r="D81" t="s">
        <v>533</v>
      </c>
      <c r="E81" t="str">
        <f t="shared" si="2"/>
        <v>CONDO_12_MONTH_PRICE_CHANGE_RESALE</v>
      </c>
      <c r="F81" t="s">
        <v>531</v>
      </c>
      <c r="H81" t="str">
        <f t="shared" si="3"/>
        <v>ALTER COLUMN "CONDO_12_MONTH_PRICE_CHANGE_RESALE" TYPE numeric USING "CONDO_12_MONTH_PRICE_CHANGE_RESALE"::numeric,</v>
      </c>
    </row>
    <row r="82" spans="2:8">
      <c r="B82" t="s">
        <v>530</v>
      </c>
      <c r="C82" s="5" t="s">
        <v>378</v>
      </c>
      <c r="D82" t="s">
        <v>533</v>
      </c>
      <c r="E82" t="str">
        <f t="shared" si="2"/>
        <v>CONDO_12_MONTH_PRICE_CHANGE_NEW_CONST</v>
      </c>
      <c r="F82" t="s">
        <v>531</v>
      </c>
      <c r="H82" t="str">
        <f t="shared" si="3"/>
        <v>ALTER COLUMN "CONDO_12_MONTH_PRICE_CHANGE_NEW_CONST" TYPE numeric USING "CONDO_12_MONTH_PRICE_CHANGE_NEW_CONST"::numeric,</v>
      </c>
    </row>
    <row r="83" spans="2:8">
      <c r="B83" t="s">
        <v>530</v>
      </c>
      <c r="C83" s="5" t="s">
        <v>379</v>
      </c>
      <c r="D83" t="s">
        <v>533</v>
      </c>
      <c r="E83" t="str">
        <f t="shared" si="2"/>
        <v>CONDO_OWNER_OCCUPIED_SALES</v>
      </c>
      <c r="F83" t="s">
        <v>531</v>
      </c>
      <c r="H83" t="str">
        <f t="shared" si="3"/>
        <v>ALTER COLUMN "CONDO_OWNER_OCCUPIED_SALES" TYPE numeric USING "CONDO_OWNER_OCCUPIED_SALES"::numeric,</v>
      </c>
    </row>
    <row r="84" spans="2:8">
      <c r="B84" t="s">
        <v>530</v>
      </c>
      <c r="C84" s="5" t="s">
        <v>380</v>
      </c>
      <c r="D84" t="s">
        <v>533</v>
      </c>
      <c r="E84" t="str">
        <f t="shared" si="2"/>
        <v>CONDO_NON_OWNER_OCCUPIED_SALES</v>
      </c>
      <c r="F84" t="s">
        <v>531</v>
      </c>
      <c r="H84" t="str">
        <f t="shared" si="3"/>
        <v>ALTER COLUMN "CONDO_NON_OWNER_OCCUPIED_SALES" TYPE numeric USING "CONDO_NON_OWNER_OCCUPIED_SALES"::numeric,</v>
      </c>
    </row>
    <row r="85" spans="2:8">
      <c r="B85" t="s">
        <v>530</v>
      </c>
      <c r="C85" s="5" t="s">
        <v>381</v>
      </c>
      <c r="D85" t="s">
        <v>533</v>
      </c>
      <c r="E85" t="str">
        <f t="shared" si="2"/>
        <v>CONDO_OWNER_OCCUPIED_AVG_SALES_PRICE</v>
      </c>
      <c r="F85" t="s">
        <v>531</v>
      </c>
      <c r="H85" t="str">
        <f t="shared" si="3"/>
        <v>ALTER COLUMN "CONDO_OWNER_OCCUPIED_AVG_SALES_PRICE" TYPE numeric USING "CONDO_OWNER_OCCUPIED_AVG_SALES_PRICE"::numeric,</v>
      </c>
    </row>
    <row r="86" spans="2:8">
      <c r="B86" t="s">
        <v>530</v>
      </c>
      <c r="C86" s="5" t="s">
        <v>382</v>
      </c>
      <c r="D86" t="s">
        <v>533</v>
      </c>
      <c r="E86" t="str">
        <f t="shared" si="2"/>
        <v>CONDO_NON_OWNER_OCCUPIED_AVG_SALES_PRICE</v>
      </c>
      <c r="F86" t="s">
        <v>531</v>
      </c>
      <c r="H86" t="str">
        <f t="shared" si="3"/>
        <v>ALTER COLUMN "CONDO_NON_OWNER_OCCUPIED_AVG_SALES_PRICE" TYPE numeric USING "CONDO_NON_OWNER_OCCUPIED_AVG_SALES_PRICE"::numeric,</v>
      </c>
    </row>
    <row r="87" spans="2:8">
      <c r="B87" t="s">
        <v>530</v>
      </c>
      <c r="C87" s="5" t="s">
        <v>383</v>
      </c>
      <c r="D87" t="s">
        <v>533</v>
      </c>
      <c r="E87" t="str">
        <f t="shared" si="2"/>
        <v>CONDO_OWNER_OCCUPIED_MED_SALES_PRICE</v>
      </c>
      <c r="F87" t="s">
        <v>531</v>
      </c>
      <c r="H87" t="str">
        <f t="shared" si="3"/>
        <v>ALTER COLUMN "CONDO_OWNER_OCCUPIED_MED_SALES_PRICE" TYPE numeric USING "CONDO_OWNER_OCCUPIED_MED_SALES_PRICE"::numeric,</v>
      </c>
    </row>
    <row r="88" spans="2:8">
      <c r="B88" t="s">
        <v>530</v>
      </c>
      <c r="C88" s="5" t="s">
        <v>384</v>
      </c>
      <c r="D88" t="s">
        <v>533</v>
      </c>
      <c r="E88" t="str">
        <f t="shared" si="2"/>
        <v>CONDO_NON_OWNER_OCCUPIED_MED_SALES_PRICE</v>
      </c>
      <c r="F88" t="s">
        <v>531</v>
      </c>
      <c r="H88" t="str">
        <f t="shared" si="3"/>
        <v>ALTER COLUMN "CONDO_NON_OWNER_OCCUPIED_MED_SALES_PRICE" TYPE numeric USING "CONDO_NON_OWNER_OCCUPIED_MED_SALES_PRICE"::numeric,</v>
      </c>
    </row>
    <row r="89" spans="2:8">
      <c r="B89" t="s">
        <v>530</v>
      </c>
      <c r="C89" s="5" t="s">
        <v>385</v>
      </c>
      <c r="D89" t="s">
        <v>533</v>
      </c>
      <c r="E89" t="str">
        <f t="shared" si="2"/>
        <v>CONDO_SALES_BY_PRICE_RANGE_Under $250K</v>
      </c>
      <c r="F89" t="s">
        <v>531</v>
      </c>
      <c r="H89" t="str">
        <f t="shared" si="3"/>
        <v>ALTER COLUMN "CONDO_SALES_BY_PRICE_RANGE_Under $250K" TYPE numeric USING "CONDO_SALES_BY_PRICE_RANGE_Under $250K"::numeric,</v>
      </c>
    </row>
    <row r="90" spans="2:8">
      <c r="B90" t="s">
        <v>530</v>
      </c>
      <c r="C90" s="5" t="s">
        <v>386</v>
      </c>
      <c r="D90" t="s">
        <v>533</v>
      </c>
      <c r="E90" t="str">
        <f t="shared" si="2"/>
        <v>CONDO_SALES_BY_PRICE_RANGE_$250K-$500K</v>
      </c>
      <c r="F90" t="s">
        <v>531</v>
      </c>
      <c r="H90" t="str">
        <f t="shared" si="3"/>
        <v>ALTER COLUMN "CONDO_SALES_BY_PRICE_RANGE_$250K-$500K" TYPE numeric USING "CONDO_SALES_BY_PRICE_RANGE_$250K-$500K"::numeric,</v>
      </c>
    </row>
    <row r="91" spans="2:8">
      <c r="B91" t="s">
        <v>530</v>
      </c>
      <c r="C91" s="5" t="s">
        <v>387</v>
      </c>
      <c r="D91" t="s">
        <v>533</v>
      </c>
      <c r="E91" t="str">
        <f t="shared" si="2"/>
        <v>CONDO_SALES_BY_PRICE_RANGE_$500K-$750K</v>
      </c>
      <c r="F91" t="s">
        <v>531</v>
      </c>
      <c r="H91" t="str">
        <f t="shared" si="3"/>
        <v>ALTER COLUMN "CONDO_SALES_BY_PRICE_RANGE_$500K-$750K" TYPE numeric USING "CONDO_SALES_BY_PRICE_RANGE_$500K-$750K"::numeric,</v>
      </c>
    </row>
    <row r="92" spans="2:8">
      <c r="B92" t="s">
        <v>530</v>
      </c>
      <c r="C92" s="5" t="s">
        <v>388</v>
      </c>
      <c r="D92" t="s">
        <v>533</v>
      </c>
      <c r="E92" t="str">
        <f t="shared" si="2"/>
        <v>CONDO_SALES_BY_PRICE_RANGE_$750K-$1M</v>
      </c>
      <c r="F92" t="s">
        <v>531</v>
      </c>
      <c r="H92" t="str">
        <f t="shared" si="3"/>
        <v>ALTER COLUMN "CONDO_SALES_BY_PRICE_RANGE_$750K-$1M" TYPE numeric USING "CONDO_SALES_BY_PRICE_RANGE_$750K-$1M"::numeric,</v>
      </c>
    </row>
    <row r="93" spans="2:8">
      <c r="B93" t="s">
        <v>530</v>
      </c>
      <c r="C93" s="5" t="s">
        <v>389</v>
      </c>
      <c r="D93" t="s">
        <v>533</v>
      </c>
      <c r="E93" t="str">
        <f t="shared" si="2"/>
        <v>CONDO_SALES_BY_PRICE_RANGE_$1M-$1.5M</v>
      </c>
      <c r="F93" t="s">
        <v>531</v>
      </c>
      <c r="H93" t="str">
        <f t="shared" si="3"/>
        <v>ALTER COLUMN "CONDO_SALES_BY_PRICE_RANGE_$1M-$1.5M" TYPE numeric USING "CONDO_SALES_BY_PRICE_RANGE_$1M-$1.5M"::numeric,</v>
      </c>
    </row>
    <row r="94" spans="2:8">
      <c r="B94" t="s">
        <v>530</v>
      </c>
      <c r="C94" s="5" t="s">
        <v>390</v>
      </c>
      <c r="D94" t="s">
        <v>533</v>
      </c>
      <c r="E94" t="str">
        <f t="shared" si="2"/>
        <v>CONDO_SALES_BY_PRICE_RANGE_$1.5M-$2.0M</v>
      </c>
      <c r="F94" t="s">
        <v>531</v>
      </c>
      <c r="H94" t="str">
        <f t="shared" si="3"/>
        <v>ALTER COLUMN "CONDO_SALES_BY_PRICE_RANGE_$1.5M-$2.0M" TYPE numeric USING "CONDO_SALES_BY_PRICE_RANGE_$1.5M-$2.0M"::numeric,</v>
      </c>
    </row>
    <row r="95" spans="2:8">
      <c r="B95" t="s">
        <v>530</v>
      </c>
      <c r="C95" s="5" t="s">
        <v>391</v>
      </c>
      <c r="D95" t="s">
        <v>533</v>
      </c>
      <c r="E95" t="str">
        <f t="shared" si="2"/>
        <v>CONDO_SALES_BY_PRICE_RANGE_$2M-$3M</v>
      </c>
      <c r="F95" t="s">
        <v>531</v>
      </c>
      <c r="H95" t="str">
        <f t="shared" si="3"/>
        <v>ALTER COLUMN "CONDO_SALES_BY_PRICE_RANGE_$2M-$3M" TYPE numeric USING "CONDO_SALES_BY_PRICE_RANGE_$2M-$3M"::numeric,</v>
      </c>
    </row>
    <row r="96" spans="2:8">
      <c r="B96" t="s">
        <v>530</v>
      </c>
      <c r="C96" s="5" t="s">
        <v>392</v>
      </c>
      <c r="D96" t="s">
        <v>533</v>
      </c>
      <c r="E96" t="str">
        <f t="shared" si="2"/>
        <v>CONDO_SALES_BY_PRICE_RANGE_$3M-$5M</v>
      </c>
      <c r="F96" t="s">
        <v>531</v>
      </c>
      <c r="H96" t="str">
        <f t="shared" si="3"/>
        <v>ALTER COLUMN "CONDO_SALES_BY_PRICE_RANGE_$3M-$5M" TYPE numeric USING "CONDO_SALES_BY_PRICE_RANGE_$3M-$5M"::numeric,</v>
      </c>
    </row>
    <row r="97" spans="2:8">
      <c r="B97" t="s">
        <v>530</v>
      </c>
      <c r="C97" s="5" t="s">
        <v>393</v>
      </c>
      <c r="D97" t="s">
        <v>533</v>
      </c>
      <c r="E97" t="str">
        <f t="shared" si="2"/>
        <v>CONDO_SALES_BY_PRICE_RANGE_Over $5M</v>
      </c>
      <c r="F97" t="s">
        <v>531</v>
      </c>
      <c r="H97" t="str">
        <f t="shared" si="3"/>
        <v>ALTER COLUMN "CONDO_SALES_BY_PRICE_RANGE_Over $5M" TYPE numeric USING "CONDO_SALES_BY_PRICE_RANGE_Over $5M"::numeric,</v>
      </c>
    </row>
    <row r="98" spans="2:8">
      <c r="B98" t="s">
        <v>530</v>
      </c>
      <c r="C98" s="5" t="s">
        <v>394</v>
      </c>
      <c r="D98" t="s">
        <v>533</v>
      </c>
      <c r="E98" t="str">
        <f t="shared" si="2"/>
        <v>SFR_ATTACHED_TOTAL_SALES</v>
      </c>
      <c r="F98" t="s">
        <v>531</v>
      </c>
      <c r="H98" t="str">
        <f t="shared" si="3"/>
        <v>ALTER COLUMN "SFR_ATTACHED_TOTAL_SALES" TYPE numeric USING "SFR_ATTACHED_TOTAL_SALES"::numeric,</v>
      </c>
    </row>
    <row r="99" spans="2:8">
      <c r="B99" t="s">
        <v>530</v>
      </c>
      <c r="C99" s="5" t="s">
        <v>395</v>
      </c>
      <c r="D99" t="s">
        <v>533</v>
      </c>
      <c r="E99" t="str">
        <f t="shared" si="2"/>
        <v>SFR_ATTACHED_TOTAL_SALES_RESALE</v>
      </c>
      <c r="F99" t="s">
        <v>531</v>
      </c>
      <c r="H99" t="str">
        <f t="shared" si="3"/>
        <v>ALTER COLUMN "SFR_ATTACHED_TOTAL_SALES_RESALE" TYPE numeric USING "SFR_ATTACHED_TOTAL_SALES_RESALE"::numeric,</v>
      </c>
    </row>
    <row r="100" spans="2:8">
      <c r="B100" t="s">
        <v>530</v>
      </c>
      <c r="C100" s="5" t="s">
        <v>396</v>
      </c>
      <c r="D100" t="s">
        <v>533</v>
      </c>
      <c r="E100" t="str">
        <f t="shared" si="2"/>
        <v>SFR_ATTACHED_TOTAL_SALES_NEW_CONST</v>
      </c>
      <c r="F100" t="s">
        <v>531</v>
      </c>
      <c r="H100" t="str">
        <f t="shared" si="3"/>
        <v>ALTER COLUMN "SFR_ATTACHED_TOTAL_SALES_NEW_CONST" TYPE numeric USING "SFR_ATTACHED_TOTAL_SALES_NEW_CONST"::numeric,</v>
      </c>
    </row>
    <row r="101" spans="2:8">
      <c r="B101" t="s">
        <v>530</v>
      </c>
      <c r="C101" s="5" t="s">
        <v>397</v>
      </c>
      <c r="D101" t="s">
        <v>533</v>
      </c>
      <c r="E101" t="str">
        <f t="shared" si="2"/>
        <v>SFR_ATTACHED_AVG_SALES_PRICE</v>
      </c>
      <c r="F101" t="s">
        <v>531</v>
      </c>
      <c r="H101" t="str">
        <f t="shared" si="3"/>
        <v>ALTER COLUMN "SFR_ATTACHED_AVG_SALES_PRICE" TYPE numeric USING "SFR_ATTACHED_AVG_SALES_PRICE"::numeric,</v>
      </c>
    </row>
    <row r="102" spans="2:8">
      <c r="B102" t="s">
        <v>530</v>
      </c>
      <c r="C102" s="5" t="s">
        <v>398</v>
      </c>
      <c r="D102" t="s">
        <v>533</v>
      </c>
      <c r="E102" t="str">
        <f t="shared" si="2"/>
        <v>SFR_ATTACHED_AVG_SALES_PRICE_RESALE</v>
      </c>
      <c r="F102" t="s">
        <v>531</v>
      </c>
      <c r="H102" t="str">
        <f t="shared" si="3"/>
        <v>ALTER COLUMN "SFR_ATTACHED_AVG_SALES_PRICE_RESALE" TYPE numeric USING "SFR_ATTACHED_AVG_SALES_PRICE_RESALE"::numeric,</v>
      </c>
    </row>
    <row r="103" spans="2:8">
      <c r="B103" t="s">
        <v>530</v>
      </c>
      <c r="C103" s="5" t="s">
        <v>399</v>
      </c>
      <c r="D103" t="s">
        <v>533</v>
      </c>
      <c r="E103" t="str">
        <f t="shared" si="2"/>
        <v>SFR_ATTACHED_AVG_SALES_PRICE_NEW_CONST</v>
      </c>
      <c r="F103" t="s">
        <v>531</v>
      </c>
      <c r="H103" t="str">
        <f t="shared" si="3"/>
        <v>ALTER COLUMN "SFR_ATTACHED_AVG_SALES_PRICE_NEW_CONST" TYPE numeric USING "SFR_ATTACHED_AVG_SALES_PRICE_NEW_CONST"::numeric,</v>
      </c>
    </row>
    <row r="104" spans="2:8">
      <c r="B104" t="s">
        <v>530</v>
      </c>
      <c r="C104" s="5" t="s">
        <v>400</v>
      </c>
      <c r="D104" t="s">
        <v>533</v>
      </c>
      <c r="E104" t="str">
        <f t="shared" si="2"/>
        <v>SFR_ATTACHED_MED_SALES_PRICE</v>
      </c>
      <c r="F104" t="s">
        <v>531</v>
      </c>
      <c r="H104" t="str">
        <f t="shared" si="3"/>
        <v>ALTER COLUMN "SFR_ATTACHED_MED_SALES_PRICE" TYPE numeric USING "SFR_ATTACHED_MED_SALES_PRICE"::numeric,</v>
      </c>
    </row>
    <row r="105" spans="2:8">
      <c r="B105" t="s">
        <v>530</v>
      </c>
      <c r="C105" s="5" t="s">
        <v>401</v>
      </c>
      <c r="D105" t="s">
        <v>533</v>
      </c>
      <c r="E105" t="str">
        <f t="shared" si="2"/>
        <v>SFR_ATTACHED_MED_SALES_PRICE_RESALE</v>
      </c>
      <c r="F105" t="s">
        <v>531</v>
      </c>
      <c r="H105" t="str">
        <f t="shared" si="3"/>
        <v>ALTER COLUMN "SFR_ATTACHED_MED_SALES_PRICE_RESALE" TYPE numeric USING "SFR_ATTACHED_MED_SALES_PRICE_RESALE"::numeric,</v>
      </c>
    </row>
    <row r="106" spans="2:8">
      <c r="B106" t="s">
        <v>530</v>
      </c>
      <c r="C106" s="5" t="s">
        <v>402</v>
      </c>
      <c r="D106" t="s">
        <v>533</v>
      </c>
      <c r="E106" t="str">
        <f t="shared" si="2"/>
        <v>SFR_ATTACHED_MED_SALES_PRICE_NEW_CONST</v>
      </c>
      <c r="F106" t="s">
        <v>531</v>
      </c>
      <c r="H106" t="str">
        <f t="shared" si="3"/>
        <v>ALTER COLUMN "SFR_ATTACHED_MED_SALES_PRICE_NEW_CONST" TYPE numeric USING "SFR_ATTACHED_MED_SALES_PRICE_NEW_CONST"::numeric,</v>
      </c>
    </row>
    <row r="107" spans="2:8">
      <c r="B107" t="s">
        <v>530</v>
      </c>
      <c r="C107" s="5" t="s">
        <v>403</v>
      </c>
      <c r="D107" t="s">
        <v>533</v>
      </c>
      <c r="E107" t="str">
        <f t="shared" si="2"/>
        <v>SFR_ATTACHED_UPPER_QUARTILE_SALES_PRICE</v>
      </c>
      <c r="F107" t="s">
        <v>531</v>
      </c>
      <c r="H107" t="str">
        <f t="shared" si="3"/>
        <v>ALTER COLUMN "SFR_ATTACHED_UPPER_QUARTILE_SALES_PRICE" TYPE numeric USING "SFR_ATTACHED_UPPER_QUARTILE_SALES_PRICE"::numeric,</v>
      </c>
    </row>
    <row r="108" spans="2:8">
      <c r="B108" t="s">
        <v>530</v>
      </c>
      <c r="C108" s="5" t="s">
        <v>404</v>
      </c>
      <c r="D108" t="s">
        <v>533</v>
      </c>
      <c r="E108" t="str">
        <f t="shared" si="2"/>
        <v>SFR_ATTACHED_UPPER_QUARTILE_SALES_PRICE_RESALE</v>
      </c>
      <c r="F108" t="s">
        <v>531</v>
      </c>
      <c r="H108" t="str">
        <f t="shared" si="3"/>
        <v>ALTER COLUMN "SFR_ATTACHED_UPPER_QUARTILE_SALES_PRICE_RESALE" TYPE numeric USING "SFR_ATTACHED_UPPER_QUARTILE_SALES_PRICE_RESALE"::numeric,</v>
      </c>
    </row>
    <row r="109" spans="2:8">
      <c r="B109" t="s">
        <v>530</v>
      </c>
      <c r="C109" s="5" t="s">
        <v>405</v>
      </c>
      <c r="D109" t="s">
        <v>533</v>
      </c>
      <c r="E109" t="str">
        <f t="shared" si="2"/>
        <v>SFR_ATTACHED_UPPER_QUARTILE_SALES_PRICE_NEW_CONST</v>
      </c>
      <c r="F109" t="s">
        <v>531</v>
      </c>
      <c r="H109" t="str">
        <f t="shared" si="3"/>
        <v>ALTER COLUMN "SFR_ATTACHED_UPPER_QUARTILE_SALES_PRICE_NEW_CONST" TYPE numeric USING "SFR_ATTACHED_UPPER_QUARTILE_SALES_PRICE_NEW_CONST"::numeric,</v>
      </c>
    </row>
    <row r="110" spans="2:8">
      <c r="B110" t="s">
        <v>530</v>
      </c>
      <c r="C110" s="5" t="s">
        <v>406</v>
      </c>
      <c r="D110" t="s">
        <v>533</v>
      </c>
      <c r="E110" t="str">
        <f t="shared" si="2"/>
        <v>SFR_ATTACHED_LOWER_QUARTILE_SALES_PRICE</v>
      </c>
      <c r="F110" t="s">
        <v>531</v>
      </c>
      <c r="H110" t="str">
        <f t="shared" si="3"/>
        <v>ALTER COLUMN "SFR_ATTACHED_LOWER_QUARTILE_SALES_PRICE" TYPE numeric USING "SFR_ATTACHED_LOWER_QUARTILE_SALES_PRICE"::numeric,</v>
      </c>
    </row>
    <row r="111" spans="2:8">
      <c r="B111" t="s">
        <v>530</v>
      </c>
      <c r="C111" s="5" t="s">
        <v>407</v>
      </c>
      <c r="D111" t="s">
        <v>533</v>
      </c>
      <c r="E111" t="str">
        <f t="shared" si="2"/>
        <v>SFR_ATTACHED_LOWER_QUARTILE_SALES_PRICE_RESALE</v>
      </c>
      <c r="F111" t="s">
        <v>531</v>
      </c>
      <c r="H111" t="str">
        <f t="shared" si="3"/>
        <v>ALTER COLUMN "SFR_ATTACHED_LOWER_QUARTILE_SALES_PRICE_RESALE" TYPE numeric USING "SFR_ATTACHED_LOWER_QUARTILE_SALES_PRICE_RESALE"::numeric,</v>
      </c>
    </row>
    <row r="112" spans="2:8">
      <c r="B112" t="s">
        <v>530</v>
      </c>
      <c r="C112" s="5" t="s">
        <v>408</v>
      </c>
      <c r="D112" t="s">
        <v>533</v>
      </c>
      <c r="E112" t="str">
        <f t="shared" si="2"/>
        <v>SFR_ATTACHED_LOWER_QUARTILE_SALES_PRICE_NEW_CONST</v>
      </c>
      <c r="F112" t="s">
        <v>531</v>
      </c>
      <c r="H112" t="str">
        <f t="shared" si="3"/>
        <v>ALTER COLUMN "SFR_ATTACHED_LOWER_QUARTILE_SALES_PRICE_NEW_CONST" TYPE numeric USING "SFR_ATTACHED_LOWER_QUARTILE_SALES_PRICE_NEW_CONST"::numeric,</v>
      </c>
    </row>
    <row r="113" spans="2:8">
      <c r="B113" t="s">
        <v>530</v>
      </c>
      <c r="C113" s="5" t="s">
        <v>409</v>
      </c>
      <c r="D113" t="s">
        <v>533</v>
      </c>
      <c r="E113" t="str">
        <f t="shared" si="2"/>
        <v>SFR_ATTACHED_AVG_SQFT</v>
      </c>
      <c r="F113" t="s">
        <v>531</v>
      </c>
      <c r="H113" t="str">
        <f t="shared" si="3"/>
        <v>ALTER COLUMN "SFR_ATTACHED_AVG_SQFT" TYPE numeric USING "SFR_ATTACHED_AVG_SQFT"::numeric,</v>
      </c>
    </row>
    <row r="114" spans="2:8">
      <c r="B114" t="s">
        <v>530</v>
      </c>
      <c r="C114" s="5" t="s">
        <v>410</v>
      </c>
      <c r="D114" t="s">
        <v>533</v>
      </c>
      <c r="E114" t="str">
        <f t="shared" si="2"/>
        <v>SFR_ATTACHED_AVG_SQFT_RESALE</v>
      </c>
      <c r="F114" t="s">
        <v>531</v>
      </c>
      <c r="H114" t="str">
        <f t="shared" si="3"/>
        <v>ALTER COLUMN "SFR_ATTACHED_AVG_SQFT_RESALE" TYPE numeric USING "SFR_ATTACHED_AVG_SQFT_RESALE"::numeric,</v>
      </c>
    </row>
    <row r="115" spans="2:8">
      <c r="B115" t="s">
        <v>530</v>
      </c>
      <c r="C115" s="5" t="s">
        <v>411</v>
      </c>
      <c r="D115" t="s">
        <v>533</v>
      </c>
      <c r="E115" t="str">
        <f t="shared" si="2"/>
        <v>SFR_ATTACHED_AVG_SQFT_NEW_CONST</v>
      </c>
      <c r="F115" t="s">
        <v>531</v>
      </c>
      <c r="H115" t="str">
        <f t="shared" si="3"/>
        <v>ALTER COLUMN "SFR_ATTACHED_AVG_SQFT_NEW_CONST" TYPE numeric USING "SFR_ATTACHED_AVG_SQFT_NEW_CONST"::numeric,</v>
      </c>
    </row>
    <row r="116" spans="2:8">
      <c r="B116" t="s">
        <v>530</v>
      </c>
      <c r="C116" s="5" t="s">
        <v>412</v>
      </c>
      <c r="D116" t="s">
        <v>533</v>
      </c>
      <c r="E116" t="str">
        <f t="shared" si="2"/>
        <v>SFR_ATTACHED_AVG_DOLLAR_PER_SQFT</v>
      </c>
      <c r="F116" t="s">
        <v>531</v>
      </c>
      <c r="H116" t="str">
        <f t="shared" si="3"/>
        <v>ALTER COLUMN "SFR_ATTACHED_AVG_DOLLAR_PER_SQFT" TYPE numeric USING "SFR_ATTACHED_AVG_DOLLAR_PER_SQFT"::numeric,</v>
      </c>
    </row>
    <row r="117" spans="2:8">
      <c r="B117" t="s">
        <v>530</v>
      </c>
      <c r="C117" s="5" t="s">
        <v>413</v>
      </c>
      <c r="D117" t="s">
        <v>533</v>
      </c>
      <c r="E117" t="str">
        <f t="shared" si="2"/>
        <v>SFR_ATTACHED_AVG_DOLLAR_PER_SQFT_RESALE</v>
      </c>
      <c r="F117" t="s">
        <v>531</v>
      </c>
      <c r="H117" t="str">
        <f t="shared" si="3"/>
        <v>ALTER COLUMN "SFR_ATTACHED_AVG_DOLLAR_PER_SQFT_RESALE" TYPE numeric USING "SFR_ATTACHED_AVG_DOLLAR_PER_SQFT_RESALE"::numeric,</v>
      </c>
    </row>
    <row r="118" spans="2:8">
      <c r="B118" t="s">
        <v>530</v>
      </c>
      <c r="C118" s="5" t="s">
        <v>414</v>
      </c>
      <c r="D118" t="s">
        <v>533</v>
      </c>
      <c r="E118" t="str">
        <f t="shared" si="2"/>
        <v>SFR_ATTACHED_AVG_DOLLAR_PER_SQFT_NEW_CONST</v>
      </c>
      <c r="F118" t="s">
        <v>531</v>
      </c>
      <c r="H118" t="str">
        <f t="shared" si="3"/>
        <v>ALTER COLUMN "SFR_ATTACHED_AVG_DOLLAR_PER_SQFT_NEW_CONST" TYPE numeric USING "SFR_ATTACHED_AVG_DOLLAR_PER_SQFT_NEW_CONST"::numeric,</v>
      </c>
    </row>
    <row r="119" spans="2:8">
      <c r="B119" t="s">
        <v>530</v>
      </c>
      <c r="C119" s="5" t="s">
        <v>415</v>
      </c>
      <c r="D119" t="s">
        <v>533</v>
      </c>
      <c r="E119" t="str">
        <f t="shared" si="2"/>
        <v>SFR_ATTACHED_MED_SQFT</v>
      </c>
      <c r="F119" t="s">
        <v>531</v>
      </c>
      <c r="H119" t="str">
        <f t="shared" si="3"/>
        <v>ALTER COLUMN "SFR_ATTACHED_MED_SQFT" TYPE numeric USING "SFR_ATTACHED_MED_SQFT"::numeric,</v>
      </c>
    </row>
    <row r="120" spans="2:8">
      <c r="B120" t="s">
        <v>530</v>
      </c>
      <c r="C120" s="5" t="s">
        <v>416</v>
      </c>
      <c r="D120" t="s">
        <v>533</v>
      </c>
      <c r="E120" t="str">
        <f t="shared" si="2"/>
        <v>SFR_ATTACHED_MED_SQFT_RESALE</v>
      </c>
      <c r="F120" t="s">
        <v>531</v>
      </c>
      <c r="H120" t="str">
        <f t="shared" si="3"/>
        <v>ALTER COLUMN "SFR_ATTACHED_MED_SQFT_RESALE" TYPE numeric USING "SFR_ATTACHED_MED_SQFT_RESALE"::numeric,</v>
      </c>
    </row>
    <row r="121" spans="2:8">
      <c r="B121" t="s">
        <v>530</v>
      </c>
      <c r="C121" s="5" t="s">
        <v>417</v>
      </c>
      <c r="D121" t="s">
        <v>533</v>
      </c>
      <c r="E121" t="str">
        <f t="shared" si="2"/>
        <v>SFR_ATTACHED_MED_SQFT_NEW_CONST</v>
      </c>
      <c r="F121" t="s">
        <v>531</v>
      </c>
      <c r="H121" t="str">
        <f t="shared" si="3"/>
        <v>ALTER COLUMN "SFR_ATTACHED_MED_SQFT_NEW_CONST" TYPE numeric USING "SFR_ATTACHED_MED_SQFT_NEW_CONST"::numeric,</v>
      </c>
    </row>
    <row r="122" spans="2:8">
      <c r="B122" t="s">
        <v>530</v>
      </c>
      <c r="C122" s="5" t="s">
        <v>418</v>
      </c>
      <c r="D122" t="s">
        <v>533</v>
      </c>
      <c r="E122" t="str">
        <f t="shared" si="2"/>
        <v>SFR_ATTACHED_MED_DOLLAR_PER_SQFT</v>
      </c>
      <c r="F122" t="s">
        <v>531</v>
      </c>
      <c r="H122" t="str">
        <f t="shared" si="3"/>
        <v>ALTER COLUMN "SFR_ATTACHED_MED_DOLLAR_PER_SQFT" TYPE numeric USING "SFR_ATTACHED_MED_DOLLAR_PER_SQFT"::numeric,</v>
      </c>
    </row>
    <row r="123" spans="2:8">
      <c r="B123" t="s">
        <v>530</v>
      </c>
      <c r="C123" s="5" t="s">
        <v>419</v>
      </c>
      <c r="D123" t="s">
        <v>533</v>
      </c>
      <c r="E123" t="str">
        <f t="shared" si="2"/>
        <v>SFR_ATTACHED_MED_DOLLAR_PER_SQFT_RESALE</v>
      </c>
      <c r="F123" t="s">
        <v>531</v>
      </c>
      <c r="H123" t="str">
        <f t="shared" si="3"/>
        <v>ALTER COLUMN "SFR_ATTACHED_MED_DOLLAR_PER_SQFT_RESALE" TYPE numeric USING "SFR_ATTACHED_MED_DOLLAR_PER_SQFT_RESALE"::numeric,</v>
      </c>
    </row>
    <row r="124" spans="2:8">
      <c r="B124" t="s">
        <v>530</v>
      </c>
      <c r="C124" s="5" t="s">
        <v>420</v>
      </c>
      <c r="D124" t="s">
        <v>533</v>
      </c>
      <c r="E124" t="str">
        <f t="shared" si="2"/>
        <v>SFR_ATTACHED_MED_DOLLAR_PER_SQFT_NEW_CONST</v>
      </c>
      <c r="F124" t="s">
        <v>531</v>
      </c>
      <c r="H124" t="str">
        <f t="shared" si="3"/>
        <v>ALTER COLUMN "SFR_ATTACHED_MED_DOLLAR_PER_SQFT_NEW_CONST" TYPE numeric USING "SFR_ATTACHED_MED_DOLLAR_PER_SQFT_NEW_CONST"::numeric,</v>
      </c>
    </row>
    <row r="125" spans="2:8">
      <c r="B125" t="s">
        <v>530</v>
      </c>
      <c r="C125" s="5" t="s">
        <v>421</v>
      </c>
      <c r="D125" t="s">
        <v>533</v>
      </c>
      <c r="E125" t="str">
        <f t="shared" si="2"/>
        <v>SFR_ATTACHED_12_MONTH_PRICE_CHANGE</v>
      </c>
      <c r="F125" t="s">
        <v>531</v>
      </c>
      <c r="H125" t="str">
        <f t="shared" si="3"/>
        <v>ALTER COLUMN "SFR_ATTACHED_12_MONTH_PRICE_CHANGE" TYPE numeric USING "SFR_ATTACHED_12_MONTH_PRICE_CHANGE"::numeric,</v>
      </c>
    </row>
    <row r="126" spans="2:8">
      <c r="B126" t="s">
        <v>530</v>
      </c>
      <c r="C126" s="5" t="s">
        <v>422</v>
      </c>
      <c r="D126" t="s">
        <v>533</v>
      </c>
      <c r="E126" t="str">
        <f t="shared" si="2"/>
        <v>SFR_ATTACHED_12_MONTH_PRICE_CHANGE_RESALE</v>
      </c>
      <c r="F126" t="s">
        <v>531</v>
      </c>
      <c r="H126" t="str">
        <f t="shared" si="3"/>
        <v>ALTER COLUMN "SFR_ATTACHED_12_MONTH_PRICE_CHANGE_RESALE" TYPE numeric USING "SFR_ATTACHED_12_MONTH_PRICE_CHANGE_RESALE"::numeric,</v>
      </c>
    </row>
    <row r="127" spans="2:8">
      <c r="B127" t="s">
        <v>530</v>
      </c>
      <c r="C127" s="5" t="s">
        <v>423</v>
      </c>
      <c r="D127" t="s">
        <v>533</v>
      </c>
      <c r="E127" t="str">
        <f t="shared" si="2"/>
        <v>SFR_ATTACHED_12_MONTH_PRICE_CHANGE_NEW_CONST</v>
      </c>
      <c r="F127" t="s">
        <v>531</v>
      </c>
      <c r="H127" t="str">
        <f t="shared" si="3"/>
        <v>ALTER COLUMN "SFR_ATTACHED_12_MONTH_PRICE_CHANGE_NEW_CONST" TYPE numeric USING "SFR_ATTACHED_12_MONTH_PRICE_CHANGE_NEW_CONST"::numeric,</v>
      </c>
    </row>
    <row r="128" spans="2:8">
      <c r="B128" t="s">
        <v>530</v>
      </c>
      <c r="C128" s="5" t="s">
        <v>424</v>
      </c>
      <c r="D128" t="s">
        <v>533</v>
      </c>
      <c r="E128" t="str">
        <f t="shared" si="2"/>
        <v>SFR_ATTACHED_OWNER_OCCUPIED_SALES</v>
      </c>
      <c r="F128" t="s">
        <v>531</v>
      </c>
      <c r="H128" t="str">
        <f t="shared" si="3"/>
        <v>ALTER COLUMN "SFR_ATTACHED_OWNER_OCCUPIED_SALES" TYPE numeric USING "SFR_ATTACHED_OWNER_OCCUPIED_SALES"::numeric,</v>
      </c>
    </row>
    <row r="129" spans="2:8">
      <c r="B129" t="s">
        <v>530</v>
      </c>
      <c r="C129" s="5" t="s">
        <v>425</v>
      </c>
      <c r="D129" t="s">
        <v>533</v>
      </c>
      <c r="E129" t="str">
        <f t="shared" si="2"/>
        <v>SFR_ATTACHED_NON_OWNER_OCCUPIED_SALES</v>
      </c>
      <c r="F129" t="s">
        <v>531</v>
      </c>
      <c r="H129" t="str">
        <f t="shared" si="3"/>
        <v>ALTER COLUMN "SFR_ATTACHED_NON_OWNER_OCCUPIED_SALES" TYPE numeric USING "SFR_ATTACHED_NON_OWNER_OCCUPIED_SALES"::numeric,</v>
      </c>
    </row>
    <row r="130" spans="2:8">
      <c r="B130" t="s">
        <v>530</v>
      </c>
      <c r="C130" s="5" t="s">
        <v>426</v>
      </c>
      <c r="D130" t="s">
        <v>533</v>
      </c>
      <c r="E130" t="str">
        <f t="shared" si="2"/>
        <v>SFR_ATTACHED_OWNER_OCCUPIED_AVG_SALES_PRICE</v>
      </c>
      <c r="F130" t="s">
        <v>531</v>
      </c>
      <c r="H130" t="str">
        <f t="shared" si="3"/>
        <v>ALTER COLUMN "SFR_ATTACHED_OWNER_OCCUPIED_AVG_SALES_PRICE" TYPE numeric USING "SFR_ATTACHED_OWNER_OCCUPIED_AVG_SALES_PRICE"::numeric,</v>
      </c>
    </row>
    <row r="131" spans="2:8">
      <c r="B131" t="s">
        <v>530</v>
      </c>
      <c r="C131" s="5" t="s">
        <v>427</v>
      </c>
      <c r="D131" t="s">
        <v>533</v>
      </c>
      <c r="E131" t="str">
        <f t="shared" si="2"/>
        <v>SFR_ATTACHED_NON_OWNER_OCCUPIED_AVG_SALES_PRICE</v>
      </c>
      <c r="F131" t="s">
        <v>531</v>
      </c>
      <c r="H131" t="str">
        <f t="shared" si="3"/>
        <v>ALTER COLUMN "SFR_ATTACHED_NON_OWNER_OCCUPIED_AVG_SALES_PRICE" TYPE numeric USING "SFR_ATTACHED_NON_OWNER_OCCUPIED_AVG_SALES_PRICE"::numeric,</v>
      </c>
    </row>
    <row r="132" spans="2:8">
      <c r="B132" t="s">
        <v>530</v>
      </c>
      <c r="C132" s="5" t="s">
        <v>428</v>
      </c>
      <c r="D132" t="s">
        <v>533</v>
      </c>
      <c r="E132" t="str">
        <f t="shared" si="2"/>
        <v>SFR_ATTACHED_OWNER_OCCUPIED_MED_SALES_PRICE</v>
      </c>
      <c r="F132" t="s">
        <v>531</v>
      </c>
      <c r="H132" t="str">
        <f t="shared" si="3"/>
        <v>ALTER COLUMN "SFR_ATTACHED_OWNER_OCCUPIED_MED_SALES_PRICE" TYPE numeric USING "SFR_ATTACHED_OWNER_OCCUPIED_MED_SALES_PRICE"::numeric,</v>
      </c>
    </row>
    <row r="133" spans="2:8">
      <c r="B133" t="s">
        <v>530</v>
      </c>
      <c r="C133" s="5" t="s">
        <v>429</v>
      </c>
      <c r="D133" t="s">
        <v>533</v>
      </c>
      <c r="E133" t="str">
        <f t="shared" si="2"/>
        <v>SFR_ATTACHED_NON_OWNER_OCCUPIED_MED_SALES_PRICE</v>
      </c>
      <c r="F133" t="s">
        <v>531</v>
      </c>
      <c r="H133" t="str">
        <f t="shared" si="3"/>
        <v>ALTER COLUMN "SFR_ATTACHED_NON_OWNER_OCCUPIED_MED_SALES_PRICE" TYPE numeric USING "SFR_ATTACHED_NON_OWNER_OCCUPIED_MED_SALES_PRICE"::numeric,</v>
      </c>
    </row>
    <row r="134" spans="2:8">
      <c r="B134" t="s">
        <v>530</v>
      </c>
      <c r="C134" s="5" t="s">
        <v>430</v>
      </c>
      <c r="D134" t="s">
        <v>533</v>
      </c>
      <c r="E134" t="str">
        <f t="shared" si="2"/>
        <v>SFR_ATTACHED_SALES_BY_PRICE_RANGE_Under $250K</v>
      </c>
      <c r="F134" t="s">
        <v>531</v>
      </c>
      <c r="H134" t="str">
        <f t="shared" si="3"/>
        <v>ALTER COLUMN "SFR_ATTACHED_SALES_BY_PRICE_RANGE_Under $250K" TYPE numeric USING "SFR_ATTACHED_SALES_BY_PRICE_RANGE_Under $250K"::numeric,</v>
      </c>
    </row>
    <row r="135" spans="2:8">
      <c r="B135" t="s">
        <v>530</v>
      </c>
      <c r="C135" s="5" t="s">
        <v>431</v>
      </c>
      <c r="D135" t="s">
        <v>533</v>
      </c>
      <c r="E135" t="str">
        <f t="shared" si="2"/>
        <v>SFR_ATTACHED_SALES_BY_PRICE_RANGE_$250K-$500K</v>
      </c>
      <c r="F135" t="s">
        <v>531</v>
      </c>
      <c r="H135" t="str">
        <f t="shared" si="3"/>
        <v>ALTER COLUMN "SFR_ATTACHED_SALES_BY_PRICE_RANGE_$250K-$500K" TYPE numeric USING "SFR_ATTACHED_SALES_BY_PRICE_RANGE_$250K-$500K"::numeric,</v>
      </c>
    </row>
    <row r="136" spans="2:8">
      <c r="B136" t="s">
        <v>530</v>
      </c>
      <c r="C136" s="5" t="s">
        <v>432</v>
      </c>
      <c r="D136" t="s">
        <v>533</v>
      </c>
      <c r="E136" t="str">
        <f t="shared" si="2"/>
        <v>SFR_ATTACHED_SALES_BY_PRICE_RANGE_$500K-$750K</v>
      </c>
      <c r="F136" t="s">
        <v>531</v>
      </c>
      <c r="H136" t="str">
        <f t="shared" si="3"/>
        <v>ALTER COLUMN "SFR_ATTACHED_SALES_BY_PRICE_RANGE_$500K-$750K" TYPE numeric USING "SFR_ATTACHED_SALES_BY_PRICE_RANGE_$500K-$750K"::numeric,</v>
      </c>
    </row>
    <row r="137" spans="2:8">
      <c r="B137" t="s">
        <v>530</v>
      </c>
      <c r="C137" s="5" t="s">
        <v>433</v>
      </c>
      <c r="D137" t="s">
        <v>533</v>
      </c>
      <c r="E137" t="str">
        <f t="shared" ref="E137:E200" si="4">C137</f>
        <v>SFR_ATTACHED_SALES_BY_PRICE_RANGE_$750K-$1M</v>
      </c>
      <c r="F137" t="s">
        <v>531</v>
      </c>
      <c r="H137" t="str">
        <f t="shared" ref="H137:H200" si="5">_xlfn.CONCAT(B137:F137)</f>
        <v>ALTER COLUMN "SFR_ATTACHED_SALES_BY_PRICE_RANGE_$750K-$1M" TYPE numeric USING "SFR_ATTACHED_SALES_BY_PRICE_RANGE_$750K-$1M"::numeric,</v>
      </c>
    </row>
    <row r="138" spans="2:8">
      <c r="B138" t="s">
        <v>530</v>
      </c>
      <c r="C138" s="5" t="s">
        <v>434</v>
      </c>
      <c r="D138" t="s">
        <v>533</v>
      </c>
      <c r="E138" t="str">
        <f t="shared" si="4"/>
        <v>SFR_ATTACHED_SALES_BY_PRICE_RANGE_$1M-$1 5M</v>
      </c>
      <c r="F138" t="s">
        <v>531</v>
      </c>
      <c r="H138" t="str">
        <f t="shared" si="5"/>
        <v>ALTER COLUMN "SFR_ATTACHED_SALES_BY_PRICE_RANGE_$1M-$1 5M" TYPE numeric USING "SFR_ATTACHED_SALES_BY_PRICE_RANGE_$1M-$1 5M"::numeric,</v>
      </c>
    </row>
    <row r="139" spans="2:8">
      <c r="B139" t="s">
        <v>530</v>
      </c>
      <c r="C139" s="5" t="s">
        <v>435</v>
      </c>
      <c r="D139" t="s">
        <v>533</v>
      </c>
      <c r="E139" t="str">
        <f t="shared" si="4"/>
        <v>SFR_ATTACHED_SALES_BY_PRICE_RANGE_$1 5M-$2 0M</v>
      </c>
      <c r="F139" t="s">
        <v>531</v>
      </c>
      <c r="H139" t="str">
        <f t="shared" si="5"/>
        <v>ALTER COLUMN "SFR_ATTACHED_SALES_BY_PRICE_RANGE_$1 5M-$2 0M" TYPE numeric USING "SFR_ATTACHED_SALES_BY_PRICE_RANGE_$1 5M-$2 0M"::numeric,</v>
      </c>
    </row>
    <row r="140" spans="2:8">
      <c r="B140" t="s">
        <v>530</v>
      </c>
      <c r="C140" s="5" t="s">
        <v>436</v>
      </c>
      <c r="D140" t="s">
        <v>533</v>
      </c>
      <c r="E140" t="str">
        <f t="shared" si="4"/>
        <v>SFR_ATTACHED_SALES_BY_PRICE_RANGE_$2M-$3M</v>
      </c>
      <c r="F140" t="s">
        <v>531</v>
      </c>
      <c r="H140" t="str">
        <f t="shared" si="5"/>
        <v>ALTER COLUMN "SFR_ATTACHED_SALES_BY_PRICE_RANGE_$2M-$3M" TYPE numeric USING "SFR_ATTACHED_SALES_BY_PRICE_RANGE_$2M-$3M"::numeric,</v>
      </c>
    </row>
    <row r="141" spans="2:8">
      <c r="B141" t="s">
        <v>530</v>
      </c>
      <c r="C141" s="5" t="s">
        <v>437</v>
      </c>
      <c r="D141" t="s">
        <v>533</v>
      </c>
      <c r="E141" t="str">
        <f t="shared" si="4"/>
        <v>SFR_ATTACHED_SALES_BY_PRICE_RANGE_$3M-$5M</v>
      </c>
      <c r="F141" t="s">
        <v>531</v>
      </c>
      <c r="H141" t="str">
        <f t="shared" si="5"/>
        <v>ALTER COLUMN "SFR_ATTACHED_SALES_BY_PRICE_RANGE_$3M-$5M" TYPE numeric USING "SFR_ATTACHED_SALES_BY_PRICE_RANGE_$3M-$5M"::numeric,</v>
      </c>
    </row>
    <row r="142" spans="2:8">
      <c r="B142" t="s">
        <v>530</v>
      </c>
      <c r="C142" s="5" t="s">
        <v>438</v>
      </c>
      <c r="D142" t="s">
        <v>533</v>
      </c>
      <c r="E142" t="str">
        <f t="shared" si="4"/>
        <v>SFR_ATTACHED_SALES_BY_PRICE_RANGE_Over $5M</v>
      </c>
      <c r="F142" t="s">
        <v>531</v>
      </c>
      <c r="H142" t="str">
        <f t="shared" si="5"/>
        <v>ALTER COLUMN "SFR_ATTACHED_SALES_BY_PRICE_RANGE_Over $5M" TYPE numeric USING "SFR_ATTACHED_SALES_BY_PRICE_RANGE_Over $5M"::numeric,</v>
      </c>
    </row>
    <row r="143" spans="2:8">
      <c r="B143" t="s">
        <v>530</v>
      </c>
      <c r="C143" s="5" t="s">
        <v>439</v>
      </c>
      <c r="D143" t="s">
        <v>533</v>
      </c>
      <c r="E143" t="str">
        <f t="shared" si="4"/>
        <v>SFR_DETACHED_TOTAL_SALES</v>
      </c>
      <c r="F143" t="s">
        <v>531</v>
      </c>
      <c r="H143" t="str">
        <f t="shared" si="5"/>
        <v>ALTER COLUMN "SFR_DETACHED_TOTAL_SALES" TYPE numeric USING "SFR_DETACHED_TOTAL_SALES"::numeric,</v>
      </c>
    </row>
    <row r="144" spans="2:8">
      <c r="B144" t="s">
        <v>530</v>
      </c>
      <c r="C144" s="5" t="s">
        <v>440</v>
      </c>
      <c r="D144" t="s">
        <v>533</v>
      </c>
      <c r="E144" t="str">
        <f t="shared" si="4"/>
        <v>SFR_DETACHED_TOTAL_SALES_RESALE</v>
      </c>
      <c r="F144" t="s">
        <v>531</v>
      </c>
      <c r="H144" t="str">
        <f t="shared" si="5"/>
        <v>ALTER COLUMN "SFR_DETACHED_TOTAL_SALES_RESALE" TYPE numeric USING "SFR_DETACHED_TOTAL_SALES_RESALE"::numeric,</v>
      </c>
    </row>
    <row r="145" spans="2:8">
      <c r="B145" t="s">
        <v>530</v>
      </c>
      <c r="C145" s="5" t="s">
        <v>441</v>
      </c>
      <c r="D145" t="s">
        <v>533</v>
      </c>
      <c r="E145" t="str">
        <f t="shared" si="4"/>
        <v>SFR_DETACHED_TOTAL_SALES_NEW_CONST</v>
      </c>
      <c r="F145" t="s">
        <v>531</v>
      </c>
      <c r="H145" t="str">
        <f t="shared" si="5"/>
        <v>ALTER COLUMN "SFR_DETACHED_TOTAL_SALES_NEW_CONST" TYPE numeric USING "SFR_DETACHED_TOTAL_SALES_NEW_CONST"::numeric,</v>
      </c>
    </row>
    <row r="146" spans="2:8">
      <c r="B146" t="s">
        <v>530</v>
      </c>
      <c r="C146" s="5" t="s">
        <v>442</v>
      </c>
      <c r="D146" t="s">
        <v>533</v>
      </c>
      <c r="E146" t="str">
        <f t="shared" si="4"/>
        <v>SFR_DETACHED_AVG_SALES_PRICE</v>
      </c>
      <c r="F146" t="s">
        <v>531</v>
      </c>
      <c r="H146" t="str">
        <f t="shared" si="5"/>
        <v>ALTER COLUMN "SFR_DETACHED_AVG_SALES_PRICE" TYPE numeric USING "SFR_DETACHED_AVG_SALES_PRICE"::numeric,</v>
      </c>
    </row>
    <row r="147" spans="2:8">
      <c r="B147" t="s">
        <v>530</v>
      </c>
      <c r="C147" s="5" t="s">
        <v>443</v>
      </c>
      <c r="D147" t="s">
        <v>533</v>
      </c>
      <c r="E147" t="str">
        <f t="shared" si="4"/>
        <v>SFR_DETACHED_AVG_SALES_PRICE_RESALE</v>
      </c>
      <c r="F147" t="s">
        <v>531</v>
      </c>
      <c r="H147" t="str">
        <f t="shared" si="5"/>
        <v>ALTER COLUMN "SFR_DETACHED_AVG_SALES_PRICE_RESALE" TYPE numeric USING "SFR_DETACHED_AVG_SALES_PRICE_RESALE"::numeric,</v>
      </c>
    </row>
    <row r="148" spans="2:8">
      <c r="B148" t="s">
        <v>530</v>
      </c>
      <c r="C148" s="5" t="s">
        <v>444</v>
      </c>
      <c r="D148" t="s">
        <v>533</v>
      </c>
      <c r="E148" t="str">
        <f t="shared" si="4"/>
        <v>SFR_DETACHED_AVG_SALES_PRICE_NEW_CONST</v>
      </c>
      <c r="F148" t="s">
        <v>531</v>
      </c>
      <c r="H148" t="str">
        <f t="shared" si="5"/>
        <v>ALTER COLUMN "SFR_DETACHED_AVG_SALES_PRICE_NEW_CONST" TYPE numeric USING "SFR_DETACHED_AVG_SALES_PRICE_NEW_CONST"::numeric,</v>
      </c>
    </row>
    <row r="149" spans="2:8">
      <c r="B149" t="s">
        <v>530</v>
      </c>
      <c r="C149" s="5" t="s">
        <v>445</v>
      </c>
      <c r="D149" t="s">
        <v>533</v>
      </c>
      <c r="E149" t="str">
        <f t="shared" si="4"/>
        <v>SFR_DETACHED_MED_SALES_PRICE</v>
      </c>
      <c r="F149" t="s">
        <v>531</v>
      </c>
      <c r="H149" t="str">
        <f t="shared" si="5"/>
        <v>ALTER COLUMN "SFR_DETACHED_MED_SALES_PRICE" TYPE numeric USING "SFR_DETACHED_MED_SALES_PRICE"::numeric,</v>
      </c>
    </row>
    <row r="150" spans="2:8">
      <c r="B150" t="s">
        <v>530</v>
      </c>
      <c r="C150" s="5" t="s">
        <v>446</v>
      </c>
      <c r="D150" t="s">
        <v>533</v>
      </c>
      <c r="E150" t="str">
        <f t="shared" si="4"/>
        <v>SFR_DETACHED_MED_SALES_PRICE_RESALE</v>
      </c>
      <c r="F150" t="s">
        <v>531</v>
      </c>
      <c r="H150" t="str">
        <f t="shared" si="5"/>
        <v>ALTER COLUMN "SFR_DETACHED_MED_SALES_PRICE_RESALE" TYPE numeric USING "SFR_DETACHED_MED_SALES_PRICE_RESALE"::numeric,</v>
      </c>
    </row>
    <row r="151" spans="2:8">
      <c r="B151" t="s">
        <v>530</v>
      </c>
      <c r="C151" s="5" t="s">
        <v>447</v>
      </c>
      <c r="D151" t="s">
        <v>533</v>
      </c>
      <c r="E151" t="str">
        <f t="shared" si="4"/>
        <v>SFR_DETACHED_MED_SALES_PRICE_NEW_CONST</v>
      </c>
      <c r="F151" t="s">
        <v>531</v>
      </c>
      <c r="H151" t="str">
        <f t="shared" si="5"/>
        <v>ALTER COLUMN "SFR_DETACHED_MED_SALES_PRICE_NEW_CONST" TYPE numeric USING "SFR_DETACHED_MED_SALES_PRICE_NEW_CONST"::numeric,</v>
      </c>
    </row>
    <row r="152" spans="2:8">
      <c r="B152" t="s">
        <v>530</v>
      </c>
      <c r="C152" s="5" t="s">
        <v>448</v>
      </c>
      <c r="D152" t="s">
        <v>533</v>
      </c>
      <c r="E152" t="str">
        <f t="shared" si="4"/>
        <v>SFR_DETACHED_UPPER_QUARTILE_SALES_PRICE</v>
      </c>
      <c r="F152" t="s">
        <v>531</v>
      </c>
      <c r="H152" t="str">
        <f t="shared" si="5"/>
        <v>ALTER COLUMN "SFR_DETACHED_UPPER_QUARTILE_SALES_PRICE" TYPE numeric USING "SFR_DETACHED_UPPER_QUARTILE_SALES_PRICE"::numeric,</v>
      </c>
    </row>
    <row r="153" spans="2:8">
      <c r="B153" t="s">
        <v>530</v>
      </c>
      <c r="C153" s="5" t="s">
        <v>449</v>
      </c>
      <c r="D153" t="s">
        <v>533</v>
      </c>
      <c r="E153" t="str">
        <f t="shared" si="4"/>
        <v>SFR_DETACHED_UPPER_QUARTILE_SALES_PRICE_RESALE</v>
      </c>
      <c r="F153" t="s">
        <v>531</v>
      </c>
      <c r="H153" t="str">
        <f t="shared" si="5"/>
        <v>ALTER COLUMN "SFR_DETACHED_UPPER_QUARTILE_SALES_PRICE_RESALE" TYPE numeric USING "SFR_DETACHED_UPPER_QUARTILE_SALES_PRICE_RESALE"::numeric,</v>
      </c>
    </row>
    <row r="154" spans="2:8">
      <c r="B154" t="s">
        <v>530</v>
      </c>
      <c r="C154" s="5" t="s">
        <v>450</v>
      </c>
      <c r="D154" t="s">
        <v>533</v>
      </c>
      <c r="E154" t="str">
        <f t="shared" si="4"/>
        <v>SFR_DETACHED_UPPER_QUARTILE_SALES_PRICE_NEW_CONST</v>
      </c>
      <c r="F154" t="s">
        <v>531</v>
      </c>
      <c r="H154" t="str">
        <f t="shared" si="5"/>
        <v>ALTER COLUMN "SFR_DETACHED_UPPER_QUARTILE_SALES_PRICE_NEW_CONST" TYPE numeric USING "SFR_DETACHED_UPPER_QUARTILE_SALES_PRICE_NEW_CONST"::numeric,</v>
      </c>
    </row>
    <row r="155" spans="2:8">
      <c r="B155" t="s">
        <v>530</v>
      </c>
      <c r="C155" s="5" t="s">
        <v>451</v>
      </c>
      <c r="D155" t="s">
        <v>533</v>
      </c>
      <c r="E155" t="str">
        <f t="shared" si="4"/>
        <v>SFR_DETACHED_LOWER_QUARTILE_SALES_PRICE</v>
      </c>
      <c r="F155" t="s">
        <v>531</v>
      </c>
      <c r="H155" t="str">
        <f t="shared" si="5"/>
        <v>ALTER COLUMN "SFR_DETACHED_LOWER_QUARTILE_SALES_PRICE" TYPE numeric USING "SFR_DETACHED_LOWER_QUARTILE_SALES_PRICE"::numeric,</v>
      </c>
    </row>
    <row r="156" spans="2:8">
      <c r="B156" t="s">
        <v>530</v>
      </c>
      <c r="C156" s="5" t="s">
        <v>452</v>
      </c>
      <c r="D156" t="s">
        <v>533</v>
      </c>
      <c r="E156" t="str">
        <f t="shared" si="4"/>
        <v>SFR_DETACHED_LOWER_QUARTILE_SALES_PRICE_RESALE</v>
      </c>
      <c r="F156" t="s">
        <v>531</v>
      </c>
      <c r="H156" t="str">
        <f t="shared" si="5"/>
        <v>ALTER COLUMN "SFR_DETACHED_LOWER_QUARTILE_SALES_PRICE_RESALE" TYPE numeric USING "SFR_DETACHED_LOWER_QUARTILE_SALES_PRICE_RESALE"::numeric,</v>
      </c>
    </row>
    <row r="157" spans="2:8">
      <c r="B157" t="s">
        <v>530</v>
      </c>
      <c r="C157" s="5" t="s">
        <v>453</v>
      </c>
      <c r="D157" t="s">
        <v>533</v>
      </c>
      <c r="E157" t="str">
        <f t="shared" si="4"/>
        <v>SFR_DETACHED_LOWER_QUARTILE_SALES_PRICE_NEW_CONST</v>
      </c>
      <c r="F157" t="s">
        <v>531</v>
      </c>
      <c r="H157" t="str">
        <f t="shared" si="5"/>
        <v>ALTER COLUMN "SFR_DETACHED_LOWER_QUARTILE_SALES_PRICE_NEW_CONST" TYPE numeric USING "SFR_DETACHED_LOWER_QUARTILE_SALES_PRICE_NEW_CONST"::numeric,</v>
      </c>
    </row>
    <row r="158" spans="2:8">
      <c r="B158" t="s">
        <v>530</v>
      </c>
      <c r="C158" s="5" t="s">
        <v>454</v>
      </c>
      <c r="D158" t="s">
        <v>533</v>
      </c>
      <c r="E158" t="str">
        <f t="shared" si="4"/>
        <v>SFR_DETACHED_AVG_SQFT</v>
      </c>
      <c r="F158" t="s">
        <v>531</v>
      </c>
      <c r="H158" t="str">
        <f t="shared" si="5"/>
        <v>ALTER COLUMN "SFR_DETACHED_AVG_SQFT" TYPE numeric USING "SFR_DETACHED_AVG_SQFT"::numeric,</v>
      </c>
    </row>
    <row r="159" spans="2:8">
      <c r="B159" t="s">
        <v>530</v>
      </c>
      <c r="C159" s="5" t="s">
        <v>455</v>
      </c>
      <c r="D159" t="s">
        <v>533</v>
      </c>
      <c r="E159" t="str">
        <f t="shared" si="4"/>
        <v>SFR_DETACHED_AVG_SQFT_RESALE</v>
      </c>
      <c r="F159" t="s">
        <v>531</v>
      </c>
      <c r="H159" t="str">
        <f t="shared" si="5"/>
        <v>ALTER COLUMN "SFR_DETACHED_AVG_SQFT_RESALE" TYPE numeric USING "SFR_DETACHED_AVG_SQFT_RESALE"::numeric,</v>
      </c>
    </row>
    <row r="160" spans="2:8">
      <c r="B160" t="s">
        <v>530</v>
      </c>
      <c r="C160" s="5" t="s">
        <v>456</v>
      </c>
      <c r="D160" t="s">
        <v>533</v>
      </c>
      <c r="E160" t="str">
        <f t="shared" si="4"/>
        <v>SFR_DETACHED_AVG_SQFT_NEW_CONST</v>
      </c>
      <c r="F160" t="s">
        <v>531</v>
      </c>
      <c r="H160" t="str">
        <f t="shared" si="5"/>
        <v>ALTER COLUMN "SFR_DETACHED_AVG_SQFT_NEW_CONST" TYPE numeric USING "SFR_DETACHED_AVG_SQFT_NEW_CONST"::numeric,</v>
      </c>
    </row>
    <row r="161" spans="2:8">
      <c r="B161" t="s">
        <v>530</v>
      </c>
      <c r="C161" s="5" t="s">
        <v>457</v>
      </c>
      <c r="D161" t="s">
        <v>533</v>
      </c>
      <c r="E161" t="str">
        <f t="shared" si="4"/>
        <v>SFR_DETACHED_AVG_DOLLAR_PER_SQFT</v>
      </c>
      <c r="F161" t="s">
        <v>531</v>
      </c>
      <c r="H161" t="str">
        <f t="shared" si="5"/>
        <v>ALTER COLUMN "SFR_DETACHED_AVG_DOLLAR_PER_SQFT" TYPE numeric USING "SFR_DETACHED_AVG_DOLLAR_PER_SQFT"::numeric,</v>
      </c>
    </row>
    <row r="162" spans="2:8">
      <c r="B162" t="s">
        <v>530</v>
      </c>
      <c r="C162" s="5" t="s">
        <v>458</v>
      </c>
      <c r="D162" t="s">
        <v>533</v>
      </c>
      <c r="E162" t="str">
        <f t="shared" si="4"/>
        <v>SFR_DETACHED_AVG_DOLLAR_PER_SQFT_RESALE</v>
      </c>
      <c r="F162" t="s">
        <v>531</v>
      </c>
      <c r="H162" t="str">
        <f t="shared" si="5"/>
        <v>ALTER COLUMN "SFR_DETACHED_AVG_DOLLAR_PER_SQFT_RESALE" TYPE numeric USING "SFR_DETACHED_AVG_DOLLAR_PER_SQFT_RESALE"::numeric,</v>
      </c>
    </row>
    <row r="163" spans="2:8">
      <c r="B163" t="s">
        <v>530</v>
      </c>
      <c r="C163" s="5" t="s">
        <v>459</v>
      </c>
      <c r="D163" t="s">
        <v>533</v>
      </c>
      <c r="E163" t="str">
        <f t="shared" si="4"/>
        <v>SFR_DETACHED_AVG_DOLLAR_PER_SQFT_NEW_CONST</v>
      </c>
      <c r="F163" t="s">
        <v>531</v>
      </c>
      <c r="H163" t="str">
        <f t="shared" si="5"/>
        <v>ALTER COLUMN "SFR_DETACHED_AVG_DOLLAR_PER_SQFT_NEW_CONST" TYPE numeric USING "SFR_DETACHED_AVG_DOLLAR_PER_SQFT_NEW_CONST"::numeric,</v>
      </c>
    </row>
    <row r="164" spans="2:8">
      <c r="B164" t="s">
        <v>530</v>
      </c>
      <c r="C164" s="5" t="s">
        <v>460</v>
      </c>
      <c r="D164" t="s">
        <v>533</v>
      </c>
      <c r="E164" t="str">
        <f t="shared" si="4"/>
        <v>SFR_DETACHED_MED_SQFT</v>
      </c>
      <c r="F164" t="s">
        <v>531</v>
      </c>
      <c r="H164" t="str">
        <f t="shared" si="5"/>
        <v>ALTER COLUMN "SFR_DETACHED_MED_SQFT" TYPE numeric USING "SFR_DETACHED_MED_SQFT"::numeric,</v>
      </c>
    </row>
    <row r="165" spans="2:8">
      <c r="B165" t="s">
        <v>530</v>
      </c>
      <c r="C165" s="5" t="s">
        <v>461</v>
      </c>
      <c r="D165" t="s">
        <v>533</v>
      </c>
      <c r="E165" t="str">
        <f t="shared" si="4"/>
        <v>SFR_DETACHED_MED_SQFT_RESALE</v>
      </c>
      <c r="F165" t="s">
        <v>531</v>
      </c>
      <c r="H165" t="str">
        <f t="shared" si="5"/>
        <v>ALTER COLUMN "SFR_DETACHED_MED_SQFT_RESALE" TYPE numeric USING "SFR_DETACHED_MED_SQFT_RESALE"::numeric,</v>
      </c>
    </row>
    <row r="166" spans="2:8">
      <c r="B166" t="s">
        <v>530</v>
      </c>
      <c r="C166" s="5" t="s">
        <v>462</v>
      </c>
      <c r="D166" t="s">
        <v>533</v>
      </c>
      <c r="E166" t="str">
        <f t="shared" si="4"/>
        <v>SFR_DETACHED_MED_SQFT_NEW_CONST</v>
      </c>
      <c r="F166" t="s">
        <v>531</v>
      </c>
      <c r="H166" t="str">
        <f t="shared" si="5"/>
        <v>ALTER COLUMN "SFR_DETACHED_MED_SQFT_NEW_CONST" TYPE numeric USING "SFR_DETACHED_MED_SQFT_NEW_CONST"::numeric,</v>
      </c>
    </row>
    <row r="167" spans="2:8">
      <c r="B167" t="s">
        <v>530</v>
      </c>
      <c r="C167" s="5" t="s">
        <v>463</v>
      </c>
      <c r="D167" t="s">
        <v>533</v>
      </c>
      <c r="E167" t="str">
        <f t="shared" si="4"/>
        <v>SFR_DETACHED_MED_DOLLAR_PER_SQFT</v>
      </c>
      <c r="F167" t="s">
        <v>531</v>
      </c>
      <c r="H167" t="str">
        <f t="shared" si="5"/>
        <v>ALTER COLUMN "SFR_DETACHED_MED_DOLLAR_PER_SQFT" TYPE numeric USING "SFR_DETACHED_MED_DOLLAR_PER_SQFT"::numeric,</v>
      </c>
    </row>
    <row r="168" spans="2:8">
      <c r="B168" t="s">
        <v>530</v>
      </c>
      <c r="C168" s="5" t="s">
        <v>464</v>
      </c>
      <c r="D168" t="s">
        <v>533</v>
      </c>
      <c r="E168" t="str">
        <f t="shared" si="4"/>
        <v>SFR_DETACHED_MED_DOLLAR_PER_SQFT_RESALE</v>
      </c>
      <c r="F168" t="s">
        <v>531</v>
      </c>
      <c r="H168" t="str">
        <f t="shared" si="5"/>
        <v>ALTER COLUMN "SFR_DETACHED_MED_DOLLAR_PER_SQFT_RESALE" TYPE numeric USING "SFR_DETACHED_MED_DOLLAR_PER_SQFT_RESALE"::numeric,</v>
      </c>
    </row>
    <row r="169" spans="2:8">
      <c r="B169" t="s">
        <v>530</v>
      </c>
      <c r="C169" s="5" t="s">
        <v>465</v>
      </c>
      <c r="D169" t="s">
        <v>533</v>
      </c>
      <c r="E169" t="str">
        <f t="shared" si="4"/>
        <v>SFR_DETACHED_MED_DOLLAR_PER_SQFT_NEW_CONST</v>
      </c>
      <c r="F169" t="s">
        <v>531</v>
      </c>
      <c r="H169" t="str">
        <f t="shared" si="5"/>
        <v>ALTER COLUMN "SFR_DETACHED_MED_DOLLAR_PER_SQFT_NEW_CONST" TYPE numeric USING "SFR_DETACHED_MED_DOLLAR_PER_SQFT_NEW_CONST"::numeric,</v>
      </c>
    </row>
    <row r="170" spans="2:8">
      <c r="B170" t="s">
        <v>530</v>
      </c>
      <c r="C170" s="5" t="s">
        <v>466</v>
      </c>
      <c r="D170" t="s">
        <v>533</v>
      </c>
      <c r="E170" t="str">
        <f t="shared" si="4"/>
        <v>SFR_DETACHED_12_MONTH_PRICE_CHANGE</v>
      </c>
      <c r="F170" t="s">
        <v>531</v>
      </c>
      <c r="H170" t="str">
        <f t="shared" si="5"/>
        <v>ALTER COLUMN "SFR_DETACHED_12_MONTH_PRICE_CHANGE" TYPE numeric USING "SFR_DETACHED_12_MONTH_PRICE_CHANGE"::numeric,</v>
      </c>
    </row>
    <row r="171" spans="2:8">
      <c r="B171" t="s">
        <v>530</v>
      </c>
      <c r="C171" s="5" t="s">
        <v>467</v>
      </c>
      <c r="D171" t="s">
        <v>533</v>
      </c>
      <c r="E171" t="str">
        <f t="shared" si="4"/>
        <v>SFR_DETACHED_12_MONTH_PRICE_CHANGE_RESALE</v>
      </c>
      <c r="F171" t="s">
        <v>531</v>
      </c>
      <c r="H171" t="str">
        <f t="shared" si="5"/>
        <v>ALTER COLUMN "SFR_DETACHED_12_MONTH_PRICE_CHANGE_RESALE" TYPE numeric USING "SFR_DETACHED_12_MONTH_PRICE_CHANGE_RESALE"::numeric,</v>
      </c>
    </row>
    <row r="172" spans="2:8">
      <c r="B172" t="s">
        <v>530</v>
      </c>
      <c r="C172" s="5" t="s">
        <v>468</v>
      </c>
      <c r="D172" t="s">
        <v>533</v>
      </c>
      <c r="E172" t="str">
        <f t="shared" si="4"/>
        <v>SFR_DETACHED_12_MONTH_PRICE_CHANGE_NEW_CONST</v>
      </c>
      <c r="F172" t="s">
        <v>531</v>
      </c>
      <c r="H172" t="str">
        <f t="shared" si="5"/>
        <v>ALTER COLUMN "SFR_DETACHED_12_MONTH_PRICE_CHANGE_NEW_CONST" TYPE numeric USING "SFR_DETACHED_12_MONTH_PRICE_CHANGE_NEW_CONST"::numeric,</v>
      </c>
    </row>
    <row r="173" spans="2:8">
      <c r="B173" t="s">
        <v>530</v>
      </c>
      <c r="C173" s="5" t="s">
        <v>469</v>
      </c>
      <c r="D173" t="s">
        <v>533</v>
      </c>
      <c r="E173" t="str">
        <f t="shared" si="4"/>
        <v>SFR_DETACHED_OWNER_OCCUPIED_SALES</v>
      </c>
      <c r="F173" t="s">
        <v>531</v>
      </c>
      <c r="H173" t="str">
        <f t="shared" si="5"/>
        <v>ALTER COLUMN "SFR_DETACHED_OWNER_OCCUPIED_SALES" TYPE numeric USING "SFR_DETACHED_OWNER_OCCUPIED_SALES"::numeric,</v>
      </c>
    </row>
    <row r="174" spans="2:8">
      <c r="B174" t="s">
        <v>530</v>
      </c>
      <c r="C174" s="5" t="s">
        <v>470</v>
      </c>
      <c r="D174" t="s">
        <v>533</v>
      </c>
      <c r="E174" t="str">
        <f t="shared" si="4"/>
        <v>SFR_DETACHED_NON_OWNER_OCCUPIED_SALES</v>
      </c>
      <c r="F174" t="s">
        <v>531</v>
      </c>
      <c r="H174" t="str">
        <f t="shared" si="5"/>
        <v>ALTER COLUMN "SFR_DETACHED_NON_OWNER_OCCUPIED_SALES" TYPE numeric USING "SFR_DETACHED_NON_OWNER_OCCUPIED_SALES"::numeric,</v>
      </c>
    </row>
    <row r="175" spans="2:8">
      <c r="B175" t="s">
        <v>530</v>
      </c>
      <c r="C175" s="5" t="s">
        <v>471</v>
      </c>
      <c r="D175" t="s">
        <v>533</v>
      </c>
      <c r="E175" t="str">
        <f t="shared" si="4"/>
        <v>SFR_DETACHED_OWNER_OCCUPIED_AVG_SALES_PRICE</v>
      </c>
      <c r="F175" t="s">
        <v>531</v>
      </c>
      <c r="H175" t="str">
        <f t="shared" si="5"/>
        <v>ALTER COLUMN "SFR_DETACHED_OWNER_OCCUPIED_AVG_SALES_PRICE" TYPE numeric USING "SFR_DETACHED_OWNER_OCCUPIED_AVG_SALES_PRICE"::numeric,</v>
      </c>
    </row>
    <row r="176" spans="2:8">
      <c r="B176" t="s">
        <v>530</v>
      </c>
      <c r="C176" s="5" t="s">
        <v>472</v>
      </c>
      <c r="D176" t="s">
        <v>533</v>
      </c>
      <c r="E176" t="str">
        <f t="shared" si="4"/>
        <v>SFR_DETACHED_NON_OWNER_OCCUPIED_AVG_SALES_PRICE</v>
      </c>
      <c r="F176" t="s">
        <v>531</v>
      </c>
      <c r="H176" t="str">
        <f t="shared" si="5"/>
        <v>ALTER COLUMN "SFR_DETACHED_NON_OWNER_OCCUPIED_AVG_SALES_PRICE" TYPE numeric USING "SFR_DETACHED_NON_OWNER_OCCUPIED_AVG_SALES_PRICE"::numeric,</v>
      </c>
    </row>
    <row r="177" spans="2:8">
      <c r="B177" t="s">
        <v>530</v>
      </c>
      <c r="C177" s="5" t="s">
        <v>473</v>
      </c>
      <c r="D177" t="s">
        <v>533</v>
      </c>
      <c r="E177" t="str">
        <f t="shared" si="4"/>
        <v>SFR_DETACHED_OWNER_OCCUPIED_MED_SALES_PRICE</v>
      </c>
      <c r="F177" t="s">
        <v>531</v>
      </c>
      <c r="H177" t="str">
        <f t="shared" si="5"/>
        <v>ALTER COLUMN "SFR_DETACHED_OWNER_OCCUPIED_MED_SALES_PRICE" TYPE numeric USING "SFR_DETACHED_OWNER_OCCUPIED_MED_SALES_PRICE"::numeric,</v>
      </c>
    </row>
    <row r="178" spans="2:8">
      <c r="B178" t="s">
        <v>530</v>
      </c>
      <c r="C178" s="5" t="s">
        <v>474</v>
      </c>
      <c r="D178" t="s">
        <v>533</v>
      </c>
      <c r="E178" t="str">
        <f t="shared" si="4"/>
        <v>SFR_DETACHED_NON_OWNER_OCCUPIED_MED_SALES_PRICE</v>
      </c>
      <c r="F178" t="s">
        <v>531</v>
      </c>
      <c r="H178" t="str">
        <f t="shared" si="5"/>
        <v>ALTER COLUMN "SFR_DETACHED_NON_OWNER_OCCUPIED_MED_SALES_PRICE" TYPE numeric USING "SFR_DETACHED_NON_OWNER_OCCUPIED_MED_SALES_PRICE"::numeric,</v>
      </c>
    </row>
    <row r="179" spans="2:8">
      <c r="B179" t="s">
        <v>530</v>
      </c>
      <c r="C179" s="5" t="s">
        <v>475</v>
      </c>
      <c r="D179" t="s">
        <v>533</v>
      </c>
      <c r="E179" t="str">
        <f t="shared" si="4"/>
        <v>SFR_DETACHED_SALES_BY_PRICE_RANGE_Under $250K</v>
      </c>
      <c r="F179" t="s">
        <v>531</v>
      </c>
      <c r="H179" t="str">
        <f t="shared" si="5"/>
        <v>ALTER COLUMN "SFR_DETACHED_SALES_BY_PRICE_RANGE_Under $250K" TYPE numeric USING "SFR_DETACHED_SALES_BY_PRICE_RANGE_Under $250K"::numeric,</v>
      </c>
    </row>
    <row r="180" spans="2:8">
      <c r="B180" t="s">
        <v>530</v>
      </c>
      <c r="C180" s="5" t="s">
        <v>476</v>
      </c>
      <c r="D180" t="s">
        <v>533</v>
      </c>
      <c r="E180" t="str">
        <f t="shared" si="4"/>
        <v>SFR_DETACHED_SALES_BY_PRICE_RANGE_$250K-$500K</v>
      </c>
      <c r="F180" t="s">
        <v>531</v>
      </c>
      <c r="H180" t="str">
        <f t="shared" si="5"/>
        <v>ALTER COLUMN "SFR_DETACHED_SALES_BY_PRICE_RANGE_$250K-$500K" TYPE numeric USING "SFR_DETACHED_SALES_BY_PRICE_RANGE_$250K-$500K"::numeric,</v>
      </c>
    </row>
    <row r="181" spans="2:8">
      <c r="B181" t="s">
        <v>530</v>
      </c>
      <c r="C181" s="5" t="s">
        <v>477</v>
      </c>
      <c r="D181" t="s">
        <v>533</v>
      </c>
      <c r="E181" t="str">
        <f t="shared" si="4"/>
        <v>SFR_DETACHED_SALES_BY_PRICE_RANGE_$500K-$750K</v>
      </c>
      <c r="F181" t="s">
        <v>531</v>
      </c>
      <c r="H181" t="str">
        <f t="shared" si="5"/>
        <v>ALTER COLUMN "SFR_DETACHED_SALES_BY_PRICE_RANGE_$500K-$750K" TYPE numeric USING "SFR_DETACHED_SALES_BY_PRICE_RANGE_$500K-$750K"::numeric,</v>
      </c>
    </row>
    <row r="182" spans="2:8">
      <c r="B182" t="s">
        <v>530</v>
      </c>
      <c r="C182" s="5" t="s">
        <v>478</v>
      </c>
      <c r="D182" t="s">
        <v>533</v>
      </c>
      <c r="E182" t="str">
        <f t="shared" si="4"/>
        <v>SFR_DETACHED_SALES_BY_PRICE_RANGE_$750K-$1M</v>
      </c>
      <c r="F182" t="s">
        <v>531</v>
      </c>
      <c r="H182" t="str">
        <f t="shared" si="5"/>
        <v>ALTER COLUMN "SFR_DETACHED_SALES_BY_PRICE_RANGE_$750K-$1M" TYPE numeric USING "SFR_DETACHED_SALES_BY_PRICE_RANGE_$750K-$1M"::numeric,</v>
      </c>
    </row>
    <row r="183" spans="2:8">
      <c r="B183" t="s">
        <v>530</v>
      </c>
      <c r="C183" s="5" t="s">
        <v>479</v>
      </c>
      <c r="D183" t="s">
        <v>533</v>
      </c>
      <c r="E183" t="str">
        <f t="shared" si="4"/>
        <v>SFR_DETACHED_SALES_BY_PRICE_RANGE_$1M-$1.5M</v>
      </c>
      <c r="F183" t="s">
        <v>531</v>
      </c>
      <c r="H183" t="str">
        <f t="shared" si="5"/>
        <v>ALTER COLUMN "SFR_DETACHED_SALES_BY_PRICE_RANGE_$1M-$1.5M" TYPE numeric USING "SFR_DETACHED_SALES_BY_PRICE_RANGE_$1M-$1.5M"::numeric,</v>
      </c>
    </row>
    <row r="184" spans="2:8">
      <c r="B184" t="s">
        <v>530</v>
      </c>
      <c r="C184" s="5" t="s">
        <v>480</v>
      </c>
      <c r="D184" t="s">
        <v>533</v>
      </c>
      <c r="E184" t="str">
        <f t="shared" si="4"/>
        <v>SFR_DETACHED_SALES_BY_PRICE_RANGE_$1.5M-$2.0M</v>
      </c>
      <c r="F184" t="s">
        <v>531</v>
      </c>
      <c r="H184" t="str">
        <f t="shared" si="5"/>
        <v>ALTER COLUMN "SFR_DETACHED_SALES_BY_PRICE_RANGE_$1.5M-$2.0M" TYPE numeric USING "SFR_DETACHED_SALES_BY_PRICE_RANGE_$1.5M-$2.0M"::numeric,</v>
      </c>
    </row>
    <row r="185" spans="2:8">
      <c r="B185" t="s">
        <v>530</v>
      </c>
      <c r="C185" s="5" t="s">
        <v>481</v>
      </c>
      <c r="D185" t="s">
        <v>533</v>
      </c>
      <c r="E185" t="str">
        <f t="shared" si="4"/>
        <v>SFR_DETACHED_SALES_BY_PRICE_RANGE_$2M-$3M</v>
      </c>
      <c r="F185" t="s">
        <v>531</v>
      </c>
      <c r="H185" t="str">
        <f t="shared" si="5"/>
        <v>ALTER COLUMN "SFR_DETACHED_SALES_BY_PRICE_RANGE_$2M-$3M" TYPE numeric USING "SFR_DETACHED_SALES_BY_PRICE_RANGE_$2M-$3M"::numeric,</v>
      </c>
    </row>
    <row r="186" spans="2:8">
      <c r="B186" t="s">
        <v>530</v>
      </c>
      <c r="C186" s="5" t="s">
        <v>482</v>
      </c>
      <c r="D186" t="s">
        <v>533</v>
      </c>
      <c r="E186" t="str">
        <f t="shared" si="4"/>
        <v>SFR_DETACHED_SALES_BY_PRICE_RANGE_$3M-$5M</v>
      </c>
      <c r="F186" t="s">
        <v>531</v>
      </c>
      <c r="H186" t="str">
        <f t="shared" si="5"/>
        <v>ALTER COLUMN "SFR_DETACHED_SALES_BY_PRICE_RANGE_$3M-$5M" TYPE numeric USING "SFR_DETACHED_SALES_BY_PRICE_RANGE_$3M-$5M"::numeric,</v>
      </c>
    </row>
    <row r="187" spans="2:8">
      <c r="B187" t="s">
        <v>530</v>
      </c>
      <c r="C187" s="5" t="s">
        <v>483</v>
      </c>
      <c r="D187" t="s">
        <v>533</v>
      </c>
      <c r="E187" t="str">
        <f t="shared" si="4"/>
        <v>SFR_DETACHED_SALES_BY_PRICE_RANGE_Over $5M</v>
      </c>
      <c r="F187" t="s">
        <v>531</v>
      </c>
      <c r="H187" t="str">
        <f t="shared" si="5"/>
        <v>ALTER COLUMN "SFR_DETACHED_SALES_BY_PRICE_RANGE_Over $5M" TYPE numeric USING "SFR_DETACHED_SALES_BY_PRICE_RANGE_Over $5M"::numeric,</v>
      </c>
    </row>
    <row r="188" spans="2:8">
      <c r="B188" t="s">
        <v>530</v>
      </c>
      <c r="C188" s="5" t="s">
        <v>484</v>
      </c>
      <c r="D188" t="s">
        <v>533</v>
      </c>
      <c r="E188" t="str">
        <f t="shared" si="4"/>
        <v>MULTI_FAMILY_TOTAL_SALES</v>
      </c>
      <c r="F188" t="s">
        <v>531</v>
      </c>
      <c r="H188" t="str">
        <f t="shared" si="5"/>
        <v>ALTER COLUMN "MULTI_FAMILY_TOTAL_SALES" TYPE numeric USING "MULTI_FAMILY_TOTAL_SALES"::numeric,</v>
      </c>
    </row>
    <row r="189" spans="2:8">
      <c r="B189" t="s">
        <v>530</v>
      </c>
      <c r="C189" s="5" t="s">
        <v>485</v>
      </c>
      <c r="D189" t="s">
        <v>533</v>
      </c>
      <c r="E189" t="str">
        <f t="shared" si="4"/>
        <v>MULTI_FAMILY_TOTAL_SALES_RESALE</v>
      </c>
      <c r="F189" t="s">
        <v>531</v>
      </c>
      <c r="H189" t="str">
        <f t="shared" si="5"/>
        <v>ALTER COLUMN "MULTI_FAMILY_TOTAL_SALES_RESALE" TYPE numeric USING "MULTI_FAMILY_TOTAL_SALES_RESALE"::numeric,</v>
      </c>
    </row>
    <row r="190" spans="2:8">
      <c r="B190" t="s">
        <v>530</v>
      </c>
      <c r="C190" s="5" t="s">
        <v>486</v>
      </c>
      <c r="D190" t="s">
        <v>533</v>
      </c>
      <c r="E190" t="str">
        <f t="shared" si="4"/>
        <v>MULTI_FAMILY_TOTAL_SALES_NEW_CONST</v>
      </c>
      <c r="F190" t="s">
        <v>531</v>
      </c>
      <c r="H190" t="str">
        <f t="shared" si="5"/>
        <v>ALTER COLUMN "MULTI_FAMILY_TOTAL_SALES_NEW_CONST" TYPE numeric USING "MULTI_FAMILY_TOTAL_SALES_NEW_CONST"::numeric,</v>
      </c>
    </row>
    <row r="191" spans="2:8">
      <c r="B191" t="s">
        <v>530</v>
      </c>
      <c r="C191" s="5" t="s">
        <v>487</v>
      </c>
      <c r="D191" t="s">
        <v>533</v>
      </c>
      <c r="E191" t="str">
        <f t="shared" si="4"/>
        <v>MULTI_FAMILY_AVG_SALES_PRICE</v>
      </c>
      <c r="F191" t="s">
        <v>531</v>
      </c>
      <c r="H191" t="str">
        <f t="shared" si="5"/>
        <v>ALTER COLUMN "MULTI_FAMILY_AVG_SALES_PRICE" TYPE numeric USING "MULTI_FAMILY_AVG_SALES_PRICE"::numeric,</v>
      </c>
    </row>
    <row r="192" spans="2:8">
      <c r="B192" t="s">
        <v>530</v>
      </c>
      <c r="C192" s="5" t="s">
        <v>488</v>
      </c>
      <c r="D192" t="s">
        <v>533</v>
      </c>
      <c r="E192" t="str">
        <f t="shared" si="4"/>
        <v>MULTI_FAMILY_AVG_SALES_PRICE_RESALE</v>
      </c>
      <c r="F192" t="s">
        <v>531</v>
      </c>
      <c r="H192" t="str">
        <f t="shared" si="5"/>
        <v>ALTER COLUMN "MULTI_FAMILY_AVG_SALES_PRICE_RESALE" TYPE numeric USING "MULTI_FAMILY_AVG_SALES_PRICE_RESALE"::numeric,</v>
      </c>
    </row>
    <row r="193" spans="2:8">
      <c r="B193" t="s">
        <v>530</v>
      </c>
      <c r="C193" s="5" t="s">
        <v>489</v>
      </c>
      <c r="D193" t="s">
        <v>533</v>
      </c>
      <c r="E193" t="str">
        <f t="shared" si="4"/>
        <v>MULTI_FAMILY_AVG_SALES_PRICE_NEW_CONST</v>
      </c>
      <c r="F193" t="s">
        <v>531</v>
      </c>
      <c r="H193" t="str">
        <f t="shared" si="5"/>
        <v>ALTER COLUMN "MULTI_FAMILY_AVG_SALES_PRICE_NEW_CONST" TYPE numeric USING "MULTI_FAMILY_AVG_SALES_PRICE_NEW_CONST"::numeric,</v>
      </c>
    </row>
    <row r="194" spans="2:8">
      <c r="B194" t="s">
        <v>530</v>
      </c>
      <c r="C194" s="5" t="s">
        <v>490</v>
      </c>
      <c r="D194" t="s">
        <v>533</v>
      </c>
      <c r="E194" t="str">
        <f t="shared" si="4"/>
        <v>MULTI_FAMILY_MED_SALES_PRICE</v>
      </c>
      <c r="F194" t="s">
        <v>531</v>
      </c>
      <c r="H194" t="str">
        <f t="shared" si="5"/>
        <v>ALTER COLUMN "MULTI_FAMILY_MED_SALES_PRICE" TYPE numeric USING "MULTI_FAMILY_MED_SALES_PRICE"::numeric,</v>
      </c>
    </row>
    <row r="195" spans="2:8">
      <c r="B195" t="s">
        <v>530</v>
      </c>
      <c r="C195" s="5" t="s">
        <v>491</v>
      </c>
      <c r="D195" t="s">
        <v>533</v>
      </c>
      <c r="E195" t="str">
        <f t="shared" si="4"/>
        <v>MULTI_FAMILY_MED_SALES_PRICE_RESALE</v>
      </c>
      <c r="F195" t="s">
        <v>531</v>
      </c>
      <c r="H195" t="str">
        <f t="shared" si="5"/>
        <v>ALTER COLUMN "MULTI_FAMILY_MED_SALES_PRICE_RESALE" TYPE numeric USING "MULTI_FAMILY_MED_SALES_PRICE_RESALE"::numeric,</v>
      </c>
    </row>
    <row r="196" spans="2:8">
      <c r="B196" t="s">
        <v>530</v>
      </c>
      <c r="C196" s="5" t="s">
        <v>492</v>
      </c>
      <c r="D196" t="s">
        <v>533</v>
      </c>
      <c r="E196" t="str">
        <f t="shared" si="4"/>
        <v>MULTI_FAMILY_MED_SALES_PRICE_NEW_CONST</v>
      </c>
      <c r="F196" t="s">
        <v>531</v>
      </c>
      <c r="H196" t="str">
        <f t="shared" si="5"/>
        <v>ALTER COLUMN "MULTI_FAMILY_MED_SALES_PRICE_NEW_CONST" TYPE numeric USING "MULTI_FAMILY_MED_SALES_PRICE_NEW_CONST"::numeric,</v>
      </c>
    </row>
    <row r="197" spans="2:8">
      <c r="B197" t="s">
        <v>530</v>
      </c>
      <c r="C197" s="5" t="s">
        <v>493</v>
      </c>
      <c r="D197" t="s">
        <v>533</v>
      </c>
      <c r="E197" t="str">
        <f t="shared" si="4"/>
        <v>MULTI_FAMILY_UPPER_QUARTILE_SALES_PRICE</v>
      </c>
      <c r="F197" t="s">
        <v>531</v>
      </c>
      <c r="H197" t="str">
        <f t="shared" si="5"/>
        <v>ALTER COLUMN "MULTI_FAMILY_UPPER_QUARTILE_SALES_PRICE" TYPE numeric USING "MULTI_FAMILY_UPPER_QUARTILE_SALES_PRICE"::numeric,</v>
      </c>
    </row>
    <row r="198" spans="2:8">
      <c r="B198" t="s">
        <v>530</v>
      </c>
      <c r="C198" s="5" t="s">
        <v>494</v>
      </c>
      <c r="D198" t="s">
        <v>533</v>
      </c>
      <c r="E198" t="str">
        <f t="shared" si="4"/>
        <v>MULTI_FAMILY_UPPER_QUARTILE_SALES_PRICE_RESALE</v>
      </c>
      <c r="F198" t="s">
        <v>531</v>
      </c>
      <c r="H198" t="str">
        <f t="shared" si="5"/>
        <v>ALTER COLUMN "MULTI_FAMILY_UPPER_QUARTILE_SALES_PRICE_RESALE" TYPE numeric USING "MULTI_FAMILY_UPPER_QUARTILE_SALES_PRICE_RESALE"::numeric,</v>
      </c>
    </row>
    <row r="199" spans="2:8">
      <c r="B199" t="s">
        <v>530</v>
      </c>
      <c r="C199" s="5" t="s">
        <v>495</v>
      </c>
      <c r="D199" t="s">
        <v>533</v>
      </c>
      <c r="E199" t="str">
        <f t="shared" si="4"/>
        <v>MULTI_FAMILY_UPPER_QUARTILE_SALES_PRICE_NEW_CONST</v>
      </c>
      <c r="F199" t="s">
        <v>531</v>
      </c>
      <c r="H199" t="str">
        <f t="shared" si="5"/>
        <v>ALTER COLUMN "MULTI_FAMILY_UPPER_QUARTILE_SALES_PRICE_NEW_CONST" TYPE numeric USING "MULTI_FAMILY_UPPER_QUARTILE_SALES_PRICE_NEW_CONST"::numeric,</v>
      </c>
    </row>
    <row r="200" spans="2:8">
      <c r="B200" t="s">
        <v>530</v>
      </c>
      <c r="C200" s="5" t="s">
        <v>496</v>
      </c>
      <c r="D200" t="s">
        <v>533</v>
      </c>
      <c r="E200" t="str">
        <f t="shared" si="4"/>
        <v>MULTI_FAMILY_LOWER_QUARTILE_SALES_PRICE</v>
      </c>
      <c r="F200" t="s">
        <v>531</v>
      </c>
      <c r="H200" t="str">
        <f t="shared" si="5"/>
        <v>ALTER COLUMN "MULTI_FAMILY_LOWER_QUARTILE_SALES_PRICE" TYPE numeric USING "MULTI_FAMILY_LOWER_QUARTILE_SALES_PRICE"::numeric,</v>
      </c>
    </row>
    <row r="201" spans="2:8">
      <c r="B201" t="s">
        <v>530</v>
      </c>
      <c r="C201" s="5" t="s">
        <v>497</v>
      </c>
      <c r="D201" t="s">
        <v>533</v>
      </c>
      <c r="E201" t="str">
        <f t="shared" ref="E201:E232" si="6">C201</f>
        <v>MULTI_FAMILY_LOWER_QUARTILE_SALES_PRICE_RESALE</v>
      </c>
      <c r="F201" t="s">
        <v>531</v>
      </c>
      <c r="H201" t="str">
        <f t="shared" ref="H201:H232" si="7">_xlfn.CONCAT(B201:F201)</f>
        <v>ALTER COLUMN "MULTI_FAMILY_LOWER_QUARTILE_SALES_PRICE_RESALE" TYPE numeric USING "MULTI_FAMILY_LOWER_QUARTILE_SALES_PRICE_RESALE"::numeric,</v>
      </c>
    </row>
    <row r="202" spans="2:8">
      <c r="B202" t="s">
        <v>530</v>
      </c>
      <c r="C202" s="5" t="s">
        <v>498</v>
      </c>
      <c r="D202" t="s">
        <v>533</v>
      </c>
      <c r="E202" t="str">
        <f t="shared" si="6"/>
        <v>MULTI_FAMILY_LOWER_QUARTILE_SALES_PRICE_NEW_CONST</v>
      </c>
      <c r="F202" t="s">
        <v>531</v>
      </c>
      <c r="H202" t="str">
        <f t="shared" si="7"/>
        <v>ALTER COLUMN "MULTI_FAMILY_LOWER_QUARTILE_SALES_PRICE_NEW_CONST" TYPE numeric USING "MULTI_FAMILY_LOWER_QUARTILE_SALES_PRICE_NEW_CONST"::numeric,</v>
      </c>
    </row>
    <row r="203" spans="2:8">
      <c r="B203" t="s">
        <v>530</v>
      </c>
      <c r="C203" s="5" t="s">
        <v>499</v>
      </c>
      <c r="D203" t="s">
        <v>533</v>
      </c>
      <c r="E203" t="str">
        <f t="shared" si="6"/>
        <v>MULTI_FAMILY_AVG_SQFT</v>
      </c>
      <c r="F203" t="s">
        <v>531</v>
      </c>
      <c r="H203" t="str">
        <f t="shared" si="7"/>
        <v>ALTER COLUMN "MULTI_FAMILY_AVG_SQFT" TYPE numeric USING "MULTI_FAMILY_AVG_SQFT"::numeric,</v>
      </c>
    </row>
    <row r="204" spans="2:8">
      <c r="B204" t="s">
        <v>530</v>
      </c>
      <c r="C204" s="5" t="s">
        <v>500</v>
      </c>
      <c r="D204" t="s">
        <v>533</v>
      </c>
      <c r="E204" t="str">
        <f t="shared" si="6"/>
        <v>MULTI_FAMILY_AVG_SQFT_RESALE</v>
      </c>
      <c r="F204" t="s">
        <v>531</v>
      </c>
      <c r="H204" t="str">
        <f t="shared" si="7"/>
        <v>ALTER COLUMN "MULTI_FAMILY_AVG_SQFT_RESALE" TYPE numeric USING "MULTI_FAMILY_AVG_SQFT_RESALE"::numeric,</v>
      </c>
    </row>
    <row r="205" spans="2:8">
      <c r="B205" t="s">
        <v>530</v>
      </c>
      <c r="C205" s="5" t="s">
        <v>501</v>
      </c>
      <c r="D205" t="s">
        <v>533</v>
      </c>
      <c r="E205" t="str">
        <f t="shared" si="6"/>
        <v>MULTI_FAMILY_AVG_SQFT_NEW_CONST</v>
      </c>
      <c r="F205" t="s">
        <v>531</v>
      </c>
      <c r="H205" t="str">
        <f t="shared" si="7"/>
        <v>ALTER COLUMN "MULTI_FAMILY_AVG_SQFT_NEW_CONST" TYPE numeric USING "MULTI_FAMILY_AVG_SQFT_NEW_CONST"::numeric,</v>
      </c>
    </row>
    <row r="206" spans="2:8">
      <c r="B206" t="s">
        <v>530</v>
      </c>
      <c r="C206" s="5" t="s">
        <v>502</v>
      </c>
      <c r="D206" t="s">
        <v>533</v>
      </c>
      <c r="E206" t="str">
        <f t="shared" si="6"/>
        <v>MULTI_FAMILY_AVG_DOLLAR_PER_SQFT</v>
      </c>
      <c r="F206" t="s">
        <v>531</v>
      </c>
      <c r="H206" t="str">
        <f t="shared" si="7"/>
        <v>ALTER COLUMN "MULTI_FAMILY_AVG_DOLLAR_PER_SQFT" TYPE numeric USING "MULTI_FAMILY_AVG_DOLLAR_PER_SQFT"::numeric,</v>
      </c>
    </row>
    <row r="207" spans="2:8">
      <c r="B207" t="s">
        <v>530</v>
      </c>
      <c r="C207" s="5" t="s">
        <v>503</v>
      </c>
      <c r="D207" t="s">
        <v>533</v>
      </c>
      <c r="E207" t="str">
        <f t="shared" si="6"/>
        <v>MULTI_FAMILY_AVG_DOLLAR_PER_SQFT_RESALE</v>
      </c>
      <c r="F207" t="s">
        <v>531</v>
      </c>
      <c r="H207" t="str">
        <f t="shared" si="7"/>
        <v>ALTER COLUMN "MULTI_FAMILY_AVG_DOLLAR_PER_SQFT_RESALE" TYPE numeric USING "MULTI_FAMILY_AVG_DOLLAR_PER_SQFT_RESALE"::numeric,</v>
      </c>
    </row>
    <row r="208" spans="2:8">
      <c r="B208" t="s">
        <v>530</v>
      </c>
      <c r="C208" s="5" t="s">
        <v>504</v>
      </c>
      <c r="D208" t="s">
        <v>533</v>
      </c>
      <c r="E208" t="str">
        <f t="shared" si="6"/>
        <v>MULTI_FAMILY_AVG_DOLLAR_PER_SQFT_NEW_CONST</v>
      </c>
      <c r="F208" t="s">
        <v>531</v>
      </c>
      <c r="H208" t="str">
        <f t="shared" si="7"/>
        <v>ALTER COLUMN "MULTI_FAMILY_AVG_DOLLAR_PER_SQFT_NEW_CONST" TYPE numeric USING "MULTI_FAMILY_AVG_DOLLAR_PER_SQFT_NEW_CONST"::numeric,</v>
      </c>
    </row>
    <row r="209" spans="2:8">
      <c r="B209" t="s">
        <v>530</v>
      </c>
      <c r="C209" s="5" t="s">
        <v>505</v>
      </c>
      <c r="D209" t="s">
        <v>533</v>
      </c>
      <c r="E209" t="str">
        <f t="shared" si="6"/>
        <v>MULTI_FAMILY_MED_SQFT</v>
      </c>
      <c r="F209" t="s">
        <v>531</v>
      </c>
      <c r="H209" t="str">
        <f t="shared" si="7"/>
        <v>ALTER COLUMN "MULTI_FAMILY_MED_SQFT" TYPE numeric USING "MULTI_FAMILY_MED_SQFT"::numeric,</v>
      </c>
    </row>
    <row r="210" spans="2:8">
      <c r="B210" t="s">
        <v>530</v>
      </c>
      <c r="C210" s="5" t="s">
        <v>506</v>
      </c>
      <c r="D210" t="s">
        <v>533</v>
      </c>
      <c r="E210" t="str">
        <f t="shared" si="6"/>
        <v>MULTI_FAMILY_MED_SQFT_RESALE</v>
      </c>
      <c r="F210" t="s">
        <v>531</v>
      </c>
      <c r="H210" t="str">
        <f t="shared" si="7"/>
        <v>ALTER COLUMN "MULTI_FAMILY_MED_SQFT_RESALE" TYPE numeric USING "MULTI_FAMILY_MED_SQFT_RESALE"::numeric,</v>
      </c>
    </row>
    <row r="211" spans="2:8">
      <c r="B211" t="s">
        <v>530</v>
      </c>
      <c r="C211" s="5" t="s">
        <v>507</v>
      </c>
      <c r="D211" t="s">
        <v>533</v>
      </c>
      <c r="E211" t="str">
        <f t="shared" si="6"/>
        <v>MULTI_FAMILY_MED_SQFT_NEW_CONST</v>
      </c>
      <c r="F211" t="s">
        <v>531</v>
      </c>
      <c r="H211" t="str">
        <f t="shared" si="7"/>
        <v>ALTER COLUMN "MULTI_FAMILY_MED_SQFT_NEW_CONST" TYPE numeric USING "MULTI_FAMILY_MED_SQFT_NEW_CONST"::numeric,</v>
      </c>
    </row>
    <row r="212" spans="2:8">
      <c r="B212" t="s">
        <v>530</v>
      </c>
      <c r="C212" s="5" t="s">
        <v>508</v>
      </c>
      <c r="D212" t="s">
        <v>533</v>
      </c>
      <c r="E212" t="str">
        <f t="shared" si="6"/>
        <v>MULTI_FAMILY_MED_DOLLAR_PER_SQFT</v>
      </c>
      <c r="F212" t="s">
        <v>531</v>
      </c>
      <c r="H212" t="str">
        <f t="shared" si="7"/>
        <v>ALTER COLUMN "MULTI_FAMILY_MED_DOLLAR_PER_SQFT" TYPE numeric USING "MULTI_FAMILY_MED_DOLLAR_PER_SQFT"::numeric,</v>
      </c>
    </row>
    <row r="213" spans="2:8">
      <c r="B213" t="s">
        <v>530</v>
      </c>
      <c r="C213" s="5" t="s">
        <v>509</v>
      </c>
      <c r="D213" t="s">
        <v>533</v>
      </c>
      <c r="E213" t="str">
        <f t="shared" si="6"/>
        <v>MULTI_FAMILY_MED_DOLLAR_PER_SQFT_RESALE</v>
      </c>
      <c r="F213" t="s">
        <v>531</v>
      </c>
      <c r="H213" t="str">
        <f t="shared" si="7"/>
        <v>ALTER COLUMN "MULTI_FAMILY_MED_DOLLAR_PER_SQFT_RESALE" TYPE numeric USING "MULTI_FAMILY_MED_DOLLAR_PER_SQFT_RESALE"::numeric,</v>
      </c>
    </row>
    <row r="214" spans="2:8">
      <c r="B214" t="s">
        <v>530</v>
      </c>
      <c r="C214" s="5" t="s">
        <v>510</v>
      </c>
      <c r="D214" t="s">
        <v>533</v>
      </c>
      <c r="E214" t="str">
        <f t="shared" si="6"/>
        <v>MULTI_FAMILY_MED_DOLLAR_PER_SQFT_NEW_CONST</v>
      </c>
      <c r="F214" t="s">
        <v>531</v>
      </c>
      <c r="H214" t="str">
        <f t="shared" si="7"/>
        <v>ALTER COLUMN "MULTI_FAMILY_MED_DOLLAR_PER_SQFT_NEW_CONST" TYPE numeric USING "MULTI_FAMILY_MED_DOLLAR_PER_SQFT_NEW_CONST"::numeric,</v>
      </c>
    </row>
    <row r="215" spans="2:8">
      <c r="B215" t="s">
        <v>530</v>
      </c>
      <c r="C215" s="5" t="s">
        <v>511</v>
      </c>
      <c r="D215" t="s">
        <v>533</v>
      </c>
      <c r="E215" t="str">
        <f t="shared" si="6"/>
        <v>MULTI_FAMILY_12_MONTH_PRICE_CHANGE</v>
      </c>
      <c r="F215" t="s">
        <v>531</v>
      </c>
      <c r="H215" t="str">
        <f t="shared" si="7"/>
        <v>ALTER COLUMN "MULTI_FAMILY_12_MONTH_PRICE_CHANGE" TYPE numeric USING "MULTI_FAMILY_12_MONTH_PRICE_CHANGE"::numeric,</v>
      </c>
    </row>
    <row r="216" spans="2:8">
      <c r="B216" t="s">
        <v>530</v>
      </c>
      <c r="C216" s="5" t="s">
        <v>512</v>
      </c>
      <c r="D216" t="s">
        <v>533</v>
      </c>
      <c r="E216" t="str">
        <f t="shared" si="6"/>
        <v>MULTI_FAMILY_12_MONTH_PRICE_CHANGE_RESALE</v>
      </c>
      <c r="F216" t="s">
        <v>531</v>
      </c>
      <c r="H216" t="str">
        <f t="shared" si="7"/>
        <v>ALTER COLUMN "MULTI_FAMILY_12_MONTH_PRICE_CHANGE_RESALE" TYPE numeric USING "MULTI_FAMILY_12_MONTH_PRICE_CHANGE_RESALE"::numeric,</v>
      </c>
    </row>
    <row r="217" spans="2:8">
      <c r="B217" t="s">
        <v>530</v>
      </c>
      <c r="C217" s="5" t="s">
        <v>513</v>
      </c>
      <c r="D217" t="s">
        <v>533</v>
      </c>
      <c r="E217" t="str">
        <f t="shared" si="6"/>
        <v>MULTI_FAMILY_12_MONTH_PRICE_CHANGE_NEW_CONST</v>
      </c>
      <c r="F217" t="s">
        <v>531</v>
      </c>
      <c r="H217" t="str">
        <f t="shared" si="7"/>
        <v>ALTER COLUMN "MULTI_FAMILY_12_MONTH_PRICE_CHANGE_NEW_CONST" TYPE numeric USING "MULTI_FAMILY_12_MONTH_PRICE_CHANGE_NEW_CONST"::numeric,</v>
      </c>
    </row>
    <row r="218" spans="2:8">
      <c r="B218" t="s">
        <v>530</v>
      </c>
      <c r="C218" s="5" t="s">
        <v>514</v>
      </c>
      <c r="D218" t="s">
        <v>533</v>
      </c>
      <c r="E218" t="str">
        <f t="shared" si="6"/>
        <v>MULTI_FAMILY_OWNER_OCCUPIED_SALES</v>
      </c>
      <c r="F218" t="s">
        <v>531</v>
      </c>
      <c r="H218" t="str">
        <f t="shared" si="7"/>
        <v>ALTER COLUMN "MULTI_FAMILY_OWNER_OCCUPIED_SALES" TYPE numeric USING "MULTI_FAMILY_OWNER_OCCUPIED_SALES"::numeric,</v>
      </c>
    </row>
    <row r="219" spans="2:8">
      <c r="B219" t="s">
        <v>530</v>
      </c>
      <c r="C219" s="5" t="s">
        <v>515</v>
      </c>
      <c r="D219" t="s">
        <v>533</v>
      </c>
      <c r="E219" t="str">
        <f t="shared" si="6"/>
        <v>MULTI_FAMILY_NON_OWNER_OCCUPIED_SALES</v>
      </c>
      <c r="F219" t="s">
        <v>531</v>
      </c>
      <c r="H219" t="str">
        <f t="shared" si="7"/>
        <v>ALTER COLUMN "MULTI_FAMILY_NON_OWNER_OCCUPIED_SALES" TYPE numeric USING "MULTI_FAMILY_NON_OWNER_OCCUPIED_SALES"::numeric,</v>
      </c>
    </row>
    <row r="220" spans="2:8">
      <c r="B220" t="s">
        <v>530</v>
      </c>
      <c r="C220" s="5" t="s">
        <v>516</v>
      </c>
      <c r="D220" t="s">
        <v>533</v>
      </c>
      <c r="E220" t="str">
        <f t="shared" si="6"/>
        <v>MULTI_FAMILY_OWNER_OCCUPIED_AVG_SALES_PRICE</v>
      </c>
      <c r="F220" t="s">
        <v>531</v>
      </c>
      <c r="H220" t="str">
        <f t="shared" si="7"/>
        <v>ALTER COLUMN "MULTI_FAMILY_OWNER_OCCUPIED_AVG_SALES_PRICE" TYPE numeric USING "MULTI_FAMILY_OWNER_OCCUPIED_AVG_SALES_PRICE"::numeric,</v>
      </c>
    </row>
    <row r="221" spans="2:8">
      <c r="B221" t="s">
        <v>530</v>
      </c>
      <c r="C221" s="5" t="s">
        <v>517</v>
      </c>
      <c r="D221" t="s">
        <v>533</v>
      </c>
      <c r="E221" t="str">
        <f t="shared" si="6"/>
        <v>MULTI_FAMILY_NON_OWNER_OCCUPIED_AVG_SALES_PRICE</v>
      </c>
      <c r="F221" t="s">
        <v>531</v>
      </c>
      <c r="H221" t="str">
        <f t="shared" si="7"/>
        <v>ALTER COLUMN "MULTI_FAMILY_NON_OWNER_OCCUPIED_AVG_SALES_PRICE" TYPE numeric USING "MULTI_FAMILY_NON_OWNER_OCCUPIED_AVG_SALES_PRICE"::numeric,</v>
      </c>
    </row>
    <row r="222" spans="2:8">
      <c r="B222" t="s">
        <v>530</v>
      </c>
      <c r="C222" s="5" t="s">
        <v>518</v>
      </c>
      <c r="D222" t="s">
        <v>533</v>
      </c>
      <c r="E222" t="str">
        <f t="shared" si="6"/>
        <v>MULTI_FAMILY_OWNER_OCCUPIED_MED_SALES_PRICE</v>
      </c>
      <c r="F222" t="s">
        <v>531</v>
      </c>
      <c r="H222" t="str">
        <f t="shared" si="7"/>
        <v>ALTER COLUMN "MULTI_FAMILY_OWNER_OCCUPIED_MED_SALES_PRICE" TYPE numeric USING "MULTI_FAMILY_OWNER_OCCUPIED_MED_SALES_PRICE"::numeric,</v>
      </c>
    </row>
    <row r="223" spans="2:8">
      <c r="B223" t="s">
        <v>530</v>
      </c>
      <c r="C223" s="5" t="s">
        <v>519</v>
      </c>
      <c r="D223" t="s">
        <v>533</v>
      </c>
      <c r="E223" t="str">
        <f t="shared" si="6"/>
        <v>MULTI_FAMILY_NON_OWNER_OCCUPIED_MED_SALES_PRICE</v>
      </c>
      <c r="F223" t="s">
        <v>531</v>
      </c>
      <c r="H223" t="str">
        <f t="shared" si="7"/>
        <v>ALTER COLUMN "MULTI_FAMILY_NON_OWNER_OCCUPIED_MED_SALES_PRICE" TYPE numeric USING "MULTI_FAMILY_NON_OWNER_OCCUPIED_MED_SALES_PRICE"::numeric,</v>
      </c>
    </row>
    <row r="224" spans="2:8">
      <c r="B224" t="s">
        <v>530</v>
      </c>
      <c r="C224" s="5" t="s">
        <v>520</v>
      </c>
      <c r="D224" t="s">
        <v>533</v>
      </c>
      <c r="E224" t="str">
        <f t="shared" si="6"/>
        <v>MULTI_FAMILY_SALES_BY_PRICE_RANGE_Under $250K</v>
      </c>
      <c r="F224" t="s">
        <v>531</v>
      </c>
      <c r="H224" t="str">
        <f t="shared" si="7"/>
        <v>ALTER COLUMN "MULTI_FAMILY_SALES_BY_PRICE_RANGE_Under $250K" TYPE numeric USING "MULTI_FAMILY_SALES_BY_PRICE_RANGE_Under $250K"::numeric,</v>
      </c>
    </row>
    <row r="225" spans="2:8">
      <c r="B225" t="s">
        <v>530</v>
      </c>
      <c r="C225" s="5" t="s">
        <v>521</v>
      </c>
      <c r="D225" t="s">
        <v>533</v>
      </c>
      <c r="E225" t="str">
        <f t="shared" si="6"/>
        <v>MULTI_FAMILY_SALES_BY_PRICE_RANGE_$250K-$500K</v>
      </c>
      <c r="F225" t="s">
        <v>531</v>
      </c>
      <c r="H225" t="str">
        <f t="shared" si="7"/>
        <v>ALTER COLUMN "MULTI_FAMILY_SALES_BY_PRICE_RANGE_$250K-$500K" TYPE numeric USING "MULTI_FAMILY_SALES_BY_PRICE_RANGE_$250K-$500K"::numeric,</v>
      </c>
    </row>
    <row r="226" spans="2:8">
      <c r="B226" t="s">
        <v>530</v>
      </c>
      <c r="C226" s="5" t="s">
        <v>522</v>
      </c>
      <c r="D226" t="s">
        <v>533</v>
      </c>
      <c r="E226" t="str">
        <f t="shared" si="6"/>
        <v>MULTI_FAMILY_SALES_BY_PRICE_RANGE_$500K-$750K</v>
      </c>
      <c r="F226" t="s">
        <v>531</v>
      </c>
      <c r="H226" t="str">
        <f t="shared" si="7"/>
        <v>ALTER COLUMN "MULTI_FAMILY_SALES_BY_PRICE_RANGE_$500K-$750K" TYPE numeric USING "MULTI_FAMILY_SALES_BY_PRICE_RANGE_$500K-$750K"::numeric,</v>
      </c>
    </row>
    <row r="227" spans="2:8">
      <c r="B227" t="s">
        <v>530</v>
      </c>
      <c r="C227" s="5" t="s">
        <v>523</v>
      </c>
      <c r="D227" t="s">
        <v>533</v>
      </c>
      <c r="E227" t="str">
        <f t="shared" si="6"/>
        <v>MULTI_FAMILY_SALES_BY_PRICE_RANGE_$750K-$1M</v>
      </c>
      <c r="F227" t="s">
        <v>531</v>
      </c>
      <c r="H227" t="str">
        <f t="shared" si="7"/>
        <v>ALTER COLUMN "MULTI_FAMILY_SALES_BY_PRICE_RANGE_$750K-$1M" TYPE numeric USING "MULTI_FAMILY_SALES_BY_PRICE_RANGE_$750K-$1M"::numeric,</v>
      </c>
    </row>
    <row r="228" spans="2:8">
      <c r="B228" t="s">
        <v>530</v>
      </c>
      <c r="C228" s="5" t="s">
        <v>524</v>
      </c>
      <c r="D228" t="s">
        <v>533</v>
      </c>
      <c r="E228" t="str">
        <f t="shared" si="6"/>
        <v>MULTI_FAMILY_SALES_BY_PRICE_RANGE_$1M-$1.5M</v>
      </c>
      <c r="F228" t="s">
        <v>531</v>
      </c>
      <c r="H228" t="str">
        <f t="shared" si="7"/>
        <v>ALTER COLUMN "MULTI_FAMILY_SALES_BY_PRICE_RANGE_$1M-$1.5M" TYPE numeric USING "MULTI_FAMILY_SALES_BY_PRICE_RANGE_$1M-$1.5M"::numeric,</v>
      </c>
    </row>
    <row r="229" spans="2:8">
      <c r="B229" t="s">
        <v>530</v>
      </c>
      <c r="C229" s="5" t="s">
        <v>525</v>
      </c>
      <c r="D229" t="s">
        <v>533</v>
      </c>
      <c r="E229" t="str">
        <f t="shared" si="6"/>
        <v>MULTI_FAMILY_SALES_BY_PRICE_RANGE_$1.5M-$2.0M</v>
      </c>
      <c r="F229" t="s">
        <v>531</v>
      </c>
      <c r="H229" t="str">
        <f t="shared" si="7"/>
        <v>ALTER COLUMN "MULTI_FAMILY_SALES_BY_PRICE_RANGE_$1.5M-$2.0M" TYPE numeric USING "MULTI_FAMILY_SALES_BY_PRICE_RANGE_$1.5M-$2.0M"::numeric,</v>
      </c>
    </row>
    <row r="230" spans="2:8">
      <c r="B230" t="s">
        <v>530</v>
      </c>
      <c r="C230" s="5" t="s">
        <v>526</v>
      </c>
      <c r="D230" t="s">
        <v>533</v>
      </c>
      <c r="E230" t="str">
        <f t="shared" si="6"/>
        <v>MULTI_FAMILY_SALES_BY_PRICE_RANGE_$2M-$3M</v>
      </c>
      <c r="F230" t="s">
        <v>531</v>
      </c>
      <c r="H230" t="str">
        <f t="shared" si="7"/>
        <v>ALTER COLUMN "MULTI_FAMILY_SALES_BY_PRICE_RANGE_$2M-$3M" TYPE numeric USING "MULTI_FAMILY_SALES_BY_PRICE_RANGE_$2M-$3M"::numeric,</v>
      </c>
    </row>
    <row r="231" spans="2:8">
      <c r="B231" t="s">
        <v>530</v>
      </c>
      <c r="C231" s="5" t="s">
        <v>527</v>
      </c>
      <c r="D231" t="s">
        <v>533</v>
      </c>
      <c r="E231" t="str">
        <f t="shared" si="6"/>
        <v>MULTI_FAMILY_SALES_BY_PRICE_RANGE_$3M-$5M</v>
      </c>
      <c r="F231" t="s">
        <v>531</v>
      </c>
      <c r="H231" t="str">
        <f t="shared" si="7"/>
        <v>ALTER COLUMN "MULTI_FAMILY_SALES_BY_PRICE_RANGE_$3M-$5M" TYPE numeric USING "MULTI_FAMILY_SALES_BY_PRICE_RANGE_$3M-$5M"::numeric,</v>
      </c>
    </row>
    <row r="232" spans="2:8">
      <c r="B232" t="s">
        <v>530</v>
      </c>
      <c r="C232" s="5" t="s">
        <v>528</v>
      </c>
      <c r="D232" t="s">
        <v>533</v>
      </c>
      <c r="E232" t="str">
        <f t="shared" si="6"/>
        <v>MULTI_FAMILY_SALES_BY_PRICE_RANGE_Over $5M</v>
      </c>
      <c r="F232" t="s">
        <v>531</v>
      </c>
      <c r="H232" t="str">
        <f t="shared" si="7"/>
        <v>ALTER COLUMN "MULTI_FAMILY_SALES_BY_PRICE_RANGE_Over $5M" TYPE numeric USING "MULTI_FAMILY_SALES_BY_PRICE_RANGE_Over $5M"::numeric,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A8A2-43E6-4CDA-B8EE-F3F11C4C0CDE}">
  <dimension ref="A1:F232"/>
  <sheetViews>
    <sheetView workbookViewId="0">
      <selection activeCell="C1" sqref="C1"/>
    </sheetView>
  </sheetViews>
  <sheetFormatPr defaultRowHeight="15"/>
  <cols>
    <col min="2" max="2" width="58.7109375" bestFit="1" customWidth="1"/>
    <col min="3" max="3" width="10.28515625" customWidth="1"/>
    <col min="4" max="4" width="19.42578125" customWidth="1"/>
  </cols>
  <sheetData>
    <row r="1" spans="1:6">
      <c r="A1" t="s">
        <v>8</v>
      </c>
      <c r="B1" s="4" t="s">
        <v>0</v>
      </c>
      <c r="C1" t="s">
        <v>529</v>
      </c>
      <c r="D1" t="s">
        <v>307</v>
      </c>
      <c r="F1" t="str">
        <f>_xlfn.CONCAT(A1:D1)</f>
        <v>"LOCATION_AGGREGATE"      varchar(50),</v>
      </c>
    </row>
    <row r="2" spans="1:6">
      <c r="A2" t="s">
        <v>8</v>
      </c>
      <c r="B2" s="4" t="s">
        <v>2</v>
      </c>
      <c r="C2" t="s">
        <v>529</v>
      </c>
      <c r="D2" t="s">
        <v>307</v>
      </c>
      <c r="F2" t="str">
        <f t="shared" ref="F2:F65" si="0">_xlfn.CONCAT(A2:D2)</f>
        <v>"LOCATION_CODE"      varchar(50),</v>
      </c>
    </row>
    <row r="3" spans="1:6">
      <c r="A3" t="s">
        <v>8</v>
      </c>
      <c r="B3" s="4" t="s">
        <v>3</v>
      </c>
      <c r="C3" t="s">
        <v>529</v>
      </c>
      <c r="D3" t="s">
        <v>307</v>
      </c>
      <c r="F3" t="str">
        <f t="shared" si="0"/>
        <v>"TIME_PERIOD"      varchar(50),</v>
      </c>
    </row>
    <row r="4" spans="1:6">
      <c r="A4" t="s">
        <v>8</v>
      </c>
      <c r="B4" s="4" t="s">
        <v>4</v>
      </c>
      <c r="C4" t="s">
        <v>529</v>
      </c>
      <c r="D4" t="s">
        <v>307</v>
      </c>
      <c r="F4" t="str">
        <f t="shared" si="0"/>
        <v>"LOCATION_CITY"      varchar(50),</v>
      </c>
    </row>
    <row r="5" spans="1:6">
      <c r="A5" t="s">
        <v>8</v>
      </c>
      <c r="B5" s="4" t="s">
        <v>5</v>
      </c>
      <c r="C5" t="s">
        <v>529</v>
      </c>
      <c r="D5" t="s">
        <v>307</v>
      </c>
      <c r="F5" t="str">
        <f t="shared" si="0"/>
        <v>"LOCATION_COUNTY"      varchar(50),</v>
      </c>
    </row>
    <row r="6" spans="1:6">
      <c r="A6" t="s">
        <v>8</v>
      </c>
      <c r="B6" s="4" t="s">
        <v>6</v>
      </c>
      <c r="C6" t="s">
        <v>529</v>
      </c>
      <c r="D6" t="s">
        <v>307</v>
      </c>
      <c r="F6" t="str">
        <f t="shared" si="0"/>
        <v>"LOCATION_CBSA"      varchar(50),</v>
      </c>
    </row>
    <row r="7" spans="1:6">
      <c r="A7" t="s">
        <v>8</v>
      </c>
      <c r="B7" s="4" t="s">
        <v>7</v>
      </c>
      <c r="C7" t="s">
        <v>529</v>
      </c>
      <c r="D7" t="s">
        <v>307</v>
      </c>
      <c r="F7" t="str">
        <f t="shared" si="0"/>
        <v>"LOCATION_STATE"      varchar(50),</v>
      </c>
    </row>
    <row r="8" spans="1:6">
      <c r="A8" t="s">
        <v>8</v>
      </c>
      <c r="B8" s="4" t="s">
        <v>303</v>
      </c>
      <c r="C8" t="s">
        <v>529</v>
      </c>
      <c r="D8" t="s">
        <v>307</v>
      </c>
      <c r="F8" t="str">
        <f t="shared" si="0"/>
        <v>"TOTAL_SALES"      varchar(50),</v>
      </c>
    </row>
    <row r="9" spans="1:6">
      <c r="A9" t="s">
        <v>8</v>
      </c>
      <c r="B9" s="4" t="s">
        <v>304</v>
      </c>
      <c r="C9" t="s">
        <v>529</v>
      </c>
      <c r="D9" t="s">
        <v>307</v>
      </c>
      <c r="F9" t="str">
        <f t="shared" si="0"/>
        <v>"TOTAL_SALES_RESALE"      varchar(50),</v>
      </c>
    </row>
    <row r="10" spans="1:6">
      <c r="A10" t="s">
        <v>8</v>
      </c>
      <c r="B10" s="4" t="s">
        <v>305</v>
      </c>
      <c r="C10" t="s">
        <v>529</v>
      </c>
      <c r="D10" t="s">
        <v>307</v>
      </c>
      <c r="F10" t="str">
        <f t="shared" si="0"/>
        <v>"TOTAL_SALES_NEW_CONST"      varchar(50),</v>
      </c>
    </row>
    <row r="11" spans="1:6">
      <c r="A11" t="s">
        <v>8</v>
      </c>
      <c r="B11" s="4" t="s">
        <v>306</v>
      </c>
      <c r="C11" t="s">
        <v>529</v>
      </c>
      <c r="D11" t="s">
        <v>307</v>
      </c>
      <c r="F11" t="str">
        <f t="shared" si="0"/>
        <v>"TOTAL_AVG_SALES_PRICE"      varchar(50),</v>
      </c>
    </row>
    <row r="12" spans="1:6">
      <c r="A12" t="s">
        <v>8</v>
      </c>
      <c r="B12" s="4" t="s">
        <v>308</v>
      </c>
      <c r="C12" t="s">
        <v>529</v>
      </c>
      <c r="D12" t="s">
        <v>307</v>
      </c>
      <c r="F12" t="str">
        <f t="shared" si="0"/>
        <v>"TOTAL_AVG_SALES_PRICE_RESALE"      varchar(50),</v>
      </c>
    </row>
    <row r="13" spans="1:6">
      <c r="A13" t="s">
        <v>8</v>
      </c>
      <c r="B13" s="4" t="s">
        <v>309</v>
      </c>
      <c r="C13" t="s">
        <v>529</v>
      </c>
      <c r="D13" t="s">
        <v>307</v>
      </c>
      <c r="F13" t="str">
        <f t="shared" si="0"/>
        <v>"TOTAL_AVG_SALES_PRICE_NEW_CONST"      varchar(50),</v>
      </c>
    </row>
    <row r="14" spans="1:6">
      <c r="A14" t="s">
        <v>8</v>
      </c>
      <c r="B14" s="4" t="s">
        <v>310</v>
      </c>
      <c r="C14" t="s">
        <v>529</v>
      </c>
      <c r="D14" t="s">
        <v>307</v>
      </c>
      <c r="F14" t="str">
        <f t="shared" si="0"/>
        <v>"TOTAL_MED_SALES_PRICE"      varchar(50),</v>
      </c>
    </row>
    <row r="15" spans="1:6">
      <c r="A15" t="s">
        <v>8</v>
      </c>
      <c r="B15" s="4" t="s">
        <v>311</v>
      </c>
      <c r="C15" t="s">
        <v>529</v>
      </c>
      <c r="D15" t="s">
        <v>307</v>
      </c>
      <c r="F15" t="str">
        <f t="shared" si="0"/>
        <v>"TOTAL_MED_SALES_PRICE_RESALE"      varchar(50),</v>
      </c>
    </row>
    <row r="16" spans="1:6">
      <c r="A16" t="s">
        <v>8</v>
      </c>
      <c r="B16" s="4" t="s">
        <v>312</v>
      </c>
      <c r="C16" t="s">
        <v>529</v>
      </c>
      <c r="D16" t="s">
        <v>307</v>
      </c>
      <c r="F16" t="str">
        <f t="shared" si="0"/>
        <v>"TOTAL_MED_SALES_PRICE_NEW_CONST"      varchar(50),</v>
      </c>
    </row>
    <row r="17" spans="1:6">
      <c r="A17" t="s">
        <v>8</v>
      </c>
      <c r="B17" s="4" t="s">
        <v>313</v>
      </c>
      <c r="C17" t="s">
        <v>529</v>
      </c>
      <c r="D17" t="s">
        <v>307</v>
      </c>
      <c r="F17" t="str">
        <f t="shared" si="0"/>
        <v>"TOTAL_UPPER_QUARTILE_SALES_PRICE"      varchar(50),</v>
      </c>
    </row>
    <row r="18" spans="1:6">
      <c r="A18" t="s">
        <v>8</v>
      </c>
      <c r="B18" s="4" t="s">
        <v>314</v>
      </c>
      <c r="C18" t="s">
        <v>529</v>
      </c>
      <c r="D18" t="s">
        <v>307</v>
      </c>
      <c r="F18" t="str">
        <f t="shared" si="0"/>
        <v>"TOTAL_UPPER_QUARTILE_SALES_PRICE_RESALE"      varchar(50),</v>
      </c>
    </row>
    <row r="19" spans="1:6">
      <c r="A19" t="s">
        <v>8</v>
      </c>
      <c r="B19" s="4" t="s">
        <v>315</v>
      </c>
      <c r="C19" t="s">
        <v>529</v>
      </c>
      <c r="D19" t="s">
        <v>307</v>
      </c>
      <c r="F19" t="str">
        <f t="shared" si="0"/>
        <v>"TOTAL_UPPER_QUARTILE_SALES_PRICE_NEW_CONST"      varchar(50),</v>
      </c>
    </row>
    <row r="20" spans="1:6">
      <c r="A20" t="s">
        <v>8</v>
      </c>
      <c r="B20" s="4" t="s">
        <v>316</v>
      </c>
      <c r="C20" t="s">
        <v>529</v>
      </c>
      <c r="D20" t="s">
        <v>307</v>
      </c>
      <c r="F20" t="str">
        <f t="shared" si="0"/>
        <v>"TOTAL_LOWER_QUARTILE_SALES_PRICE"      varchar(50),</v>
      </c>
    </row>
    <row r="21" spans="1:6">
      <c r="A21" t="s">
        <v>8</v>
      </c>
      <c r="B21" s="4" t="s">
        <v>317</v>
      </c>
      <c r="C21" t="s">
        <v>529</v>
      </c>
      <c r="D21" t="s">
        <v>307</v>
      </c>
      <c r="F21" t="str">
        <f t="shared" si="0"/>
        <v>"TOTAL_LOWER_QUARTILE_SALES_PRICE_RESALE"      varchar(50),</v>
      </c>
    </row>
    <row r="22" spans="1:6">
      <c r="A22" t="s">
        <v>8</v>
      </c>
      <c r="B22" s="4" t="s">
        <v>318</v>
      </c>
      <c r="C22" t="s">
        <v>529</v>
      </c>
      <c r="D22" t="s">
        <v>307</v>
      </c>
      <c r="F22" t="str">
        <f t="shared" si="0"/>
        <v>"TOTAL_LOWER_QUARTILE_SALES_PRICE_NEW_CONST"      varchar(50),</v>
      </c>
    </row>
    <row r="23" spans="1:6">
      <c r="A23" t="s">
        <v>8</v>
      </c>
      <c r="B23" s="4" t="s">
        <v>319</v>
      </c>
      <c r="C23" t="s">
        <v>529</v>
      </c>
      <c r="D23" t="s">
        <v>307</v>
      </c>
      <c r="F23" t="str">
        <f t="shared" si="0"/>
        <v>"TOTAL_AVG_SQFT"      varchar(50),</v>
      </c>
    </row>
    <row r="24" spans="1:6">
      <c r="A24" t="s">
        <v>8</v>
      </c>
      <c r="B24" s="4" t="s">
        <v>320</v>
      </c>
      <c r="C24" t="s">
        <v>529</v>
      </c>
      <c r="D24" t="s">
        <v>307</v>
      </c>
      <c r="F24" t="str">
        <f t="shared" si="0"/>
        <v>"TOTAL_AVG_SQFT_RESALE"      varchar(50),</v>
      </c>
    </row>
    <row r="25" spans="1:6">
      <c r="A25" t="s">
        <v>8</v>
      </c>
      <c r="B25" s="4" t="s">
        <v>321</v>
      </c>
      <c r="C25" t="s">
        <v>529</v>
      </c>
      <c r="D25" t="s">
        <v>307</v>
      </c>
      <c r="F25" t="str">
        <f t="shared" si="0"/>
        <v>"TOTAL_AVG_SQFT_NEW_CONST"      varchar(50),</v>
      </c>
    </row>
    <row r="26" spans="1:6">
      <c r="A26" t="s">
        <v>8</v>
      </c>
      <c r="B26" s="4" t="s">
        <v>322</v>
      </c>
      <c r="C26" t="s">
        <v>529</v>
      </c>
      <c r="D26" t="s">
        <v>307</v>
      </c>
      <c r="F26" t="str">
        <f t="shared" si="0"/>
        <v>"TOTAL_AVG_DOLLAR_PER_SQFT"      varchar(50),</v>
      </c>
    </row>
    <row r="27" spans="1:6">
      <c r="A27" t="s">
        <v>8</v>
      </c>
      <c r="B27" s="4" t="s">
        <v>323</v>
      </c>
      <c r="C27" t="s">
        <v>529</v>
      </c>
      <c r="D27" t="s">
        <v>307</v>
      </c>
      <c r="F27" t="str">
        <f t="shared" si="0"/>
        <v>"TOTAL_AVG_DOLLAR_PER_SQFT_RESALE"      varchar(50),</v>
      </c>
    </row>
    <row r="28" spans="1:6">
      <c r="A28" t="s">
        <v>8</v>
      </c>
      <c r="B28" s="4" t="s">
        <v>324</v>
      </c>
      <c r="C28" t="s">
        <v>529</v>
      </c>
      <c r="D28" t="s">
        <v>307</v>
      </c>
      <c r="F28" t="str">
        <f t="shared" si="0"/>
        <v>"TOTAL_AVG_DOLLAR_PER_SQFT_NEW_CONST"      varchar(50),</v>
      </c>
    </row>
    <row r="29" spans="1:6">
      <c r="A29" t="s">
        <v>8</v>
      </c>
      <c r="B29" s="4" t="s">
        <v>325</v>
      </c>
      <c r="C29" t="s">
        <v>529</v>
      </c>
      <c r="D29" t="s">
        <v>307</v>
      </c>
      <c r="F29" t="str">
        <f t="shared" si="0"/>
        <v>"TOTAL_MED_SQFT"      varchar(50),</v>
      </c>
    </row>
    <row r="30" spans="1:6">
      <c r="A30" t="s">
        <v>8</v>
      </c>
      <c r="B30" s="4" t="s">
        <v>326</v>
      </c>
      <c r="C30" t="s">
        <v>529</v>
      </c>
      <c r="D30" t="s">
        <v>307</v>
      </c>
      <c r="F30" t="str">
        <f t="shared" si="0"/>
        <v>"TOTAL_MED_SQFT_RESALE"      varchar(50),</v>
      </c>
    </row>
    <row r="31" spans="1:6">
      <c r="A31" t="s">
        <v>8</v>
      </c>
      <c r="B31" s="4" t="s">
        <v>327</v>
      </c>
      <c r="C31" t="s">
        <v>529</v>
      </c>
      <c r="D31" t="s">
        <v>307</v>
      </c>
      <c r="F31" t="str">
        <f t="shared" si="0"/>
        <v>"TOTAL_MED_SQFT_NEW_CONST"      varchar(50),</v>
      </c>
    </row>
    <row r="32" spans="1:6">
      <c r="A32" t="s">
        <v>8</v>
      </c>
      <c r="B32" s="4" t="s">
        <v>328</v>
      </c>
      <c r="C32" t="s">
        <v>529</v>
      </c>
      <c r="D32" t="s">
        <v>307</v>
      </c>
      <c r="F32" t="str">
        <f t="shared" si="0"/>
        <v>"TOTAL_MED_DOLLAR_PER_SQFT"      varchar(50),</v>
      </c>
    </row>
    <row r="33" spans="1:6">
      <c r="A33" t="s">
        <v>8</v>
      </c>
      <c r="B33" s="4" t="s">
        <v>329</v>
      </c>
      <c r="C33" t="s">
        <v>529</v>
      </c>
      <c r="D33" t="s">
        <v>307</v>
      </c>
      <c r="F33" t="str">
        <f t="shared" si="0"/>
        <v>"TOTAL_MED_DOLLAR_PER_SQFT_RESALE"      varchar(50),</v>
      </c>
    </row>
    <row r="34" spans="1:6">
      <c r="A34" t="s">
        <v>8</v>
      </c>
      <c r="B34" s="4" t="s">
        <v>330</v>
      </c>
      <c r="C34" t="s">
        <v>529</v>
      </c>
      <c r="D34" t="s">
        <v>307</v>
      </c>
      <c r="F34" t="str">
        <f t="shared" si="0"/>
        <v>"TOTAL_MED_DOLLAR_PER_SQFT_NEW_CONST"      varchar(50),</v>
      </c>
    </row>
    <row r="35" spans="1:6">
      <c r="A35" t="s">
        <v>8</v>
      </c>
      <c r="B35" s="4" t="s">
        <v>331</v>
      </c>
      <c r="C35" t="s">
        <v>529</v>
      </c>
      <c r="D35" t="s">
        <v>307</v>
      </c>
      <c r="F35" t="str">
        <f t="shared" si="0"/>
        <v>"TOTAL_12_MONTH_PRICE_CHANGE"      varchar(50),</v>
      </c>
    </row>
    <row r="36" spans="1:6">
      <c r="A36" t="s">
        <v>8</v>
      </c>
      <c r="B36" s="4" t="s">
        <v>332</v>
      </c>
      <c r="C36" t="s">
        <v>529</v>
      </c>
      <c r="D36" t="s">
        <v>307</v>
      </c>
      <c r="F36" t="str">
        <f t="shared" si="0"/>
        <v>"TOTAL_12_MONTH_PRICE_CHANGE_RESALE"      varchar(50),</v>
      </c>
    </row>
    <row r="37" spans="1:6">
      <c r="A37" t="s">
        <v>8</v>
      </c>
      <c r="B37" s="4" t="s">
        <v>333</v>
      </c>
      <c r="C37" t="s">
        <v>529</v>
      </c>
      <c r="D37" t="s">
        <v>307</v>
      </c>
      <c r="F37" t="str">
        <f t="shared" si="0"/>
        <v>"TOTAL_12_MONTH_PRICE_CHANGE_NEW_CONST"      varchar(50),</v>
      </c>
    </row>
    <row r="38" spans="1:6">
      <c r="A38" t="s">
        <v>8</v>
      </c>
      <c r="B38" s="4" t="s">
        <v>334</v>
      </c>
      <c r="C38" t="s">
        <v>529</v>
      </c>
      <c r="D38" t="s">
        <v>307</v>
      </c>
      <c r="F38" t="str">
        <f t="shared" si="0"/>
        <v>"TOTAL_OWNER_OCCUPIED_SALES"      varchar(50),</v>
      </c>
    </row>
    <row r="39" spans="1:6">
      <c r="A39" t="s">
        <v>8</v>
      </c>
      <c r="B39" s="4" t="s">
        <v>335</v>
      </c>
      <c r="C39" t="s">
        <v>529</v>
      </c>
      <c r="D39" t="s">
        <v>307</v>
      </c>
      <c r="F39" t="str">
        <f t="shared" si="0"/>
        <v>"TOTAL_NON_OWNER_OCCUPIED_SALES"      varchar(50),</v>
      </c>
    </row>
    <row r="40" spans="1:6">
      <c r="A40" t="s">
        <v>8</v>
      </c>
      <c r="B40" s="4" t="s">
        <v>336</v>
      </c>
      <c r="C40" t="s">
        <v>529</v>
      </c>
      <c r="D40" t="s">
        <v>307</v>
      </c>
      <c r="F40" t="str">
        <f t="shared" si="0"/>
        <v>"TOTAL_OWNER_OCCUPIED_AVG_SALES_PRICE"      varchar(50),</v>
      </c>
    </row>
    <row r="41" spans="1:6">
      <c r="A41" t="s">
        <v>8</v>
      </c>
      <c r="B41" s="4" t="s">
        <v>337</v>
      </c>
      <c r="C41" t="s">
        <v>529</v>
      </c>
      <c r="D41" t="s">
        <v>307</v>
      </c>
      <c r="F41" t="str">
        <f t="shared" si="0"/>
        <v>"TOTAL_NON_OWNER_OCCUPIED_AVG_SALES_PRICE"      varchar(50),</v>
      </c>
    </row>
    <row r="42" spans="1:6">
      <c r="A42" t="s">
        <v>8</v>
      </c>
      <c r="B42" s="4" t="s">
        <v>338</v>
      </c>
      <c r="C42" t="s">
        <v>529</v>
      </c>
      <c r="D42" t="s">
        <v>307</v>
      </c>
      <c r="F42" t="str">
        <f t="shared" si="0"/>
        <v>"TOTAL_OWNER_OCCUPIED_MED_SALES_PRICE"      varchar(50),</v>
      </c>
    </row>
    <row r="43" spans="1:6">
      <c r="A43" t="s">
        <v>8</v>
      </c>
      <c r="B43" s="4" t="s">
        <v>339</v>
      </c>
      <c r="C43" t="s">
        <v>529</v>
      </c>
      <c r="D43" t="s">
        <v>307</v>
      </c>
      <c r="F43" t="str">
        <f t="shared" si="0"/>
        <v>"TOTAL_NON_OWNER_OCCUPIED_MED_SALES_PRICE"      varchar(50),</v>
      </c>
    </row>
    <row r="44" spans="1:6">
      <c r="A44" t="s">
        <v>8</v>
      </c>
      <c r="B44" s="4" t="s">
        <v>340</v>
      </c>
      <c r="C44" t="s">
        <v>529</v>
      </c>
      <c r="D44" t="s">
        <v>307</v>
      </c>
      <c r="F44" t="str">
        <f t="shared" si="0"/>
        <v>"TOTAL_SALES_BY_PRICE_RANGE_Under $250K"      varchar(50),</v>
      </c>
    </row>
    <row r="45" spans="1:6">
      <c r="A45" t="s">
        <v>8</v>
      </c>
      <c r="B45" s="4" t="s">
        <v>341</v>
      </c>
      <c r="C45" t="s">
        <v>529</v>
      </c>
      <c r="D45" t="s">
        <v>307</v>
      </c>
      <c r="F45" t="str">
        <f t="shared" si="0"/>
        <v>"TOTAL_SALES_BY_PRICE_RANGE_$250K-$500K"      varchar(50),</v>
      </c>
    </row>
    <row r="46" spans="1:6">
      <c r="A46" t="s">
        <v>8</v>
      </c>
      <c r="B46" s="4" t="s">
        <v>342</v>
      </c>
      <c r="C46" t="s">
        <v>529</v>
      </c>
      <c r="D46" t="s">
        <v>307</v>
      </c>
      <c r="F46" t="str">
        <f t="shared" si="0"/>
        <v>"TOTAL_SALES_BY_PRICE_RANGE_$500K-$750K"      varchar(50),</v>
      </c>
    </row>
    <row r="47" spans="1:6">
      <c r="A47" t="s">
        <v>8</v>
      </c>
      <c r="B47" s="4" t="s">
        <v>343</v>
      </c>
      <c r="C47" t="s">
        <v>529</v>
      </c>
      <c r="D47" t="s">
        <v>307</v>
      </c>
      <c r="F47" t="str">
        <f t="shared" si="0"/>
        <v>"TOTAL_SALES_BY_PRICE_RANGE_$750K-$1M"      varchar(50),</v>
      </c>
    </row>
    <row r="48" spans="1:6">
      <c r="A48" t="s">
        <v>8</v>
      </c>
      <c r="B48" s="4" t="s">
        <v>344</v>
      </c>
      <c r="C48" t="s">
        <v>529</v>
      </c>
      <c r="D48" t="s">
        <v>307</v>
      </c>
      <c r="F48" t="str">
        <f t="shared" si="0"/>
        <v>"TOTAL_SALES_BY_PRICE_RANGE_$1M-$1.5M"      varchar(50),</v>
      </c>
    </row>
    <row r="49" spans="1:6">
      <c r="A49" t="s">
        <v>8</v>
      </c>
      <c r="B49" s="4" t="s">
        <v>345</v>
      </c>
      <c r="C49" t="s">
        <v>529</v>
      </c>
      <c r="D49" t="s">
        <v>307</v>
      </c>
      <c r="F49" t="str">
        <f t="shared" si="0"/>
        <v>"TOTAL_SALES_BY_PRICE_RANGE_$1.5M-$2.0M"      varchar(50),</v>
      </c>
    </row>
    <row r="50" spans="1:6">
      <c r="A50" t="s">
        <v>8</v>
      </c>
      <c r="B50" s="4" t="s">
        <v>346</v>
      </c>
      <c r="C50" t="s">
        <v>529</v>
      </c>
      <c r="D50" t="s">
        <v>307</v>
      </c>
      <c r="F50" t="str">
        <f t="shared" si="0"/>
        <v>"TOTAL_SALES_BY_PRICE_RANGE_$2M-$3M"      varchar(50),</v>
      </c>
    </row>
    <row r="51" spans="1:6">
      <c r="A51" t="s">
        <v>8</v>
      </c>
      <c r="B51" s="4" t="s">
        <v>347</v>
      </c>
      <c r="C51" t="s">
        <v>529</v>
      </c>
      <c r="D51" t="s">
        <v>307</v>
      </c>
      <c r="F51" t="str">
        <f t="shared" si="0"/>
        <v>"TOTAL_SALES_BY_PRICE_RANGE_$3M-$5M"      varchar(50),</v>
      </c>
    </row>
    <row r="52" spans="1:6">
      <c r="A52" t="s">
        <v>8</v>
      </c>
      <c r="B52" s="4" t="s">
        <v>348</v>
      </c>
      <c r="C52" t="s">
        <v>529</v>
      </c>
      <c r="D52" t="s">
        <v>307</v>
      </c>
      <c r="F52" t="str">
        <f t="shared" si="0"/>
        <v>"TOTAL_SALES_BY_PRICE_RANGE_Over $5M"      varchar(50),</v>
      </c>
    </row>
    <row r="53" spans="1:6">
      <c r="A53" t="s">
        <v>8</v>
      </c>
      <c r="B53" s="4" t="s">
        <v>349</v>
      </c>
      <c r="C53" t="s">
        <v>529</v>
      </c>
      <c r="D53" t="s">
        <v>307</v>
      </c>
      <c r="F53" t="str">
        <f t="shared" si="0"/>
        <v>"CONDO_TOTAL_SALES"      varchar(50),</v>
      </c>
    </row>
    <row r="54" spans="1:6">
      <c r="A54" t="s">
        <v>8</v>
      </c>
      <c r="B54" s="4" t="s">
        <v>350</v>
      </c>
      <c r="C54" t="s">
        <v>529</v>
      </c>
      <c r="D54" t="s">
        <v>307</v>
      </c>
      <c r="F54" t="str">
        <f t="shared" si="0"/>
        <v>"CONDO_TOTAL_SALES_RESALE"      varchar(50),</v>
      </c>
    </row>
    <row r="55" spans="1:6">
      <c r="A55" t="s">
        <v>8</v>
      </c>
      <c r="B55" s="4" t="s">
        <v>351</v>
      </c>
      <c r="C55" t="s">
        <v>529</v>
      </c>
      <c r="D55" t="s">
        <v>307</v>
      </c>
      <c r="F55" t="str">
        <f t="shared" si="0"/>
        <v>"CONDO_TOTAL_SALES_NEW_CONST"      varchar(50),</v>
      </c>
    </row>
    <row r="56" spans="1:6">
      <c r="A56" t="s">
        <v>8</v>
      </c>
      <c r="B56" s="4" t="s">
        <v>352</v>
      </c>
      <c r="C56" t="s">
        <v>529</v>
      </c>
      <c r="D56" t="s">
        <v>307</v>
      </c>
      <c r="F56" t="str">
        <f t="shared" si="0"/>
        <v>"CONDO_AVG_SALES_PRICE"      varchar(50),</v>
      </c>
    </row>
    <row r="57" spans="1:6">
      <c r="A57" t="s">
        <v>8</v>
      </c>
      <c r="B57" s="4" t="s">
        <v>353</v>
      </c>
      <c r="C57" t="s">
        <v>529</v>
      </c>
      <c r="D57" t="s">
        <v>307</v>
      </c>
      <c r="F57" t="str">
        <f t="shared" si="0"/>
        <v>"CONDO_AVG_SALES_PRICE_RESALE"      varchar(50),</v>
      </c>
    </row>
    <row r="58" spans="1:6">
      <c r="A58" t="s">
        <v>8</v>
      </c>
      <c r="B58" s="4" t="s">
        <v>354</v>
      </c>
      <c r="C58" t="s">
        <v>529</v>
      </c>
      <c r="D58" t="s">
        <v>307</v>
      </c>
      <c r="F58" t="str">
        <f t="shared" si="0"/>
        <v>"CONDO_AVG_SALES_PRICE_NEW_CONST"      varchar(50),</v>
      </c>
    </row>
    <row r="59" spans="1:6">
      <c r="A59" t="s">
        <v>8</v>
      </c>
      <c r="B59" s="4" t="s">
        <v>355</v>
      </c>
      <c r="C59" t="s">
        <v>529</v>
      </c>
      <c r="D59" t="s">
        <v>307</v>
      </c>
      <c r="F59" t="str">
        <f t="shared" si="0"/>
        <v>"CONDO_MED_SALES_PRICE"      varchar(50),</v>
      </c>
    </row>
    <row r="60" spans="1:6">
      <c r="A60" t="s">
        <v>8</v>
      </c>
      <c r="B60" s="4" t="s">
        <v>356</v>
      </c>
      <c r="C60" t="s">
        <v>529</v>
      </c>
      <c r="D60" t="s">
        <v>307</v>
      </c>
      <c r="F60" t="str">
        <f t="shared" si="0"/>
        <v>"CONDO_MED_SALES_PRICE_RESALE"      varchar(50),</v>
      </c>
    </row>
    <row r="61" spans="1:6">
      <c r="A61" t="s">
        <v>8</v>
      </c>
      <c r="B61" s="4" t="s">
        <v>357</v>
      </c>
      <c r="C61" t="s">
        <v>529</v>
      </c>
      <c r="D61" t="s">
        <v>307</v>
      </c>
      <c r="F61" t="str">
        <f t="shared" si="0"/>
        <v>"CONDO_MED_SALES_PRICE_NEW_CONST"      varchar(50),</v>
      </c>
    </row>
    <row r="62" spans="1:6">
      <c r="A62" t="s">
        <v>8</v>
      </c>
      <c r="B62" s="4" t="s">
        <v>358</v>
      </c>
      <c r="C62" t="s">
        <v>529</v>
      </c>
      <c r="D62" t="s">
        <v>307</v>
      </c>
      <c r="F62" t="str">
        <f t="shared" si="0"/>
        <v>"CONDO_UPPER_QUARTILE_SALES_PRICE"      varchar(50),</v>
      </c>
    </row>
    <row r="63" spans="1:6">
      <c r="A63" t="s">
        <v>8</v>
      </c>
      <c r="B63" s="4" t="s">
        <v>359</v>
      </c>
      <c r="C63" t="s">
        <v>529</v>
      </c>
      <c r="D63" t="s">
        <v>307</v>
      </c>
      <c r="F63" t="str">
        <f t="shared" si="0"/>
        <v>"CONDO_UPPER_QUARTILE_SALES_PRICE_RESALE"      varchar(50),</v>
      </c>
    </row>
    <row r="64" spans="1:6">
      <c r="A64" t="s">
        <v>8</v>
      </c>
      <c r="B64" s="4" t="s">
        <v>360</v>
      </c>
      <c r="C64" t="s">
        <v>529</v>
      </c>
      <c r="D64" t="s">
        <v>307</v>
      </c>
      <c r="F64" t="str">
        <f t="shared" si="0"/>
        <v>"CONDO_UPPER_QUARTILE_SALES_PRICE_NEW_CONST"      varchar(50),</v>
      </c>
    </row>
    <row r="65" spans="1:6">
      <c r="A65" t="s">
        <v>8</v>
      </c>
      <c r="B65" s="4" t="s">
        <v>361</v>
      </c>
      <c r="C65" t="s">
        <v>529</v>
      </c>
      <c r="D65" t="s">
        <v>307</v>
      </c>
      <c r="F65" t="str">
        <f t="shared" si="0"/>
        <v>"CONDO_LOWER_QUARTILE_SALES_PRICE"      varchar(50),</v>
      </c>
    </row>
    <row r="66" spans="1:6">
      <c r="A66" t="s">
        <v>8</v>
      </c>
      <c r="B66" s="4" t="s">
        <v>362</v>
      </c>
      <c r="C66" t="s">
        <v>529</v>
      </c>
      <c r="D66" t="s">
        <v>307</v>
      </c>
      <c r="F66" t="str">
        <f t="shared" ref="F66:F129" si="1">_xlfn.CONCAT(A66:D66)</f>
        <v>"CONDO_LOWER_QUARTILE_SALES_PRICE_RESALE"      varchar(50),</v>
      </c>
    </row>
    <row r="67" spans="1:6">
      <c r="A67" t="s">
        <v>8</v>
      </c>
      <c r="B67" s="4" t="s">
        <v>363</v>
      </c>
      <c r="C67" t="s">
        <v>529</v>
      </c>
      <c r="D67" t="s">
        <v>307</v>
      </c>
      <c r="F67" t="str">
        <f t="shared" si="1"/>
        <v>"CONDO_LOWER_QUARTILE_SALES_PRICE_NEW_CONST"      varchar(50),</v>
      </c>
    </row>
    <row r="68" spans="1:6">
      <c r="A68" t="s">
        <v>8</v>
      </c>
      <c r="B68" s="4" t="s">
        <v>364</v>
      </c>
      <c r="C68" t="s">
        <v>529</v>
      </c>
      <c r="D68" t="s">
        <v>307</v>
      </c>
      <c r="F68" t="str">
        <f t="shared" si="1"/>
        <v>"CONDO_AVG_SQFT"      varchar(50),</v>
      </c>
    </row>
    <row r="69" spans="1:6">
      <c r="A69" t="s">
        <v>8</v>
      </c>
      <c r="B69" s="4" t="s">
        <v>365</v>
      </c>
      <c r="C69" t="s">
        <v>529</v>
      </c>
      <c r="D69" t="s">
        <v>307</v>
      </c>
      <c r="F69" t="str">
        <f t="shared" si="1"/>
        <v>"CONDO_AVG_SQFT_RESALE"      varchar(50),</v>
      </c>
    </row>
    <row r="70" spans="1:6">
      <c r="A70" t="s">
        <v>8</v>
      </c>
      <c r="B70" s="4" t="s">
        <v>366</v>
      </c>
      <c r="C70" t="s">
        <v>529</v>
      </c>
      <c r="D70" t="s">
        <v>307</v>
      </c>
      <c r="F70" t="str">
        <f t="shared" si="1"/>
        <v>"CONDO_AVG_SQFT_NEW_CONST"      varchar(50),</v>
      </c>
    </row>
    <row r="71" spans="1:6">
      <c r="A71" t="s">
        <v>8</v>
      </c>
      <c r="B71" s="4" t="s">
        <v>367</v>
      </c>
      <c r="C71" t="s">
        <v>529</v>
      </c>
      <c r="D71" t="s">
        <v>307</v>
      </c>
      <c r="F71" t="str">
        <f t="shared" si="1"/>
        <v>"CONDO_AVG_DOLLAR_PER_SQFT"      varchar(50),</v>
      </c>
    </row>
    <row r="72" spans="1:6">
      <c r="A72" t="s">
        <v>8</v>
      </c>
      <c r="B72" s="4" t="s">
        <v>368</v>
      </c>
      <c r="C72" t="s">
        <v>529</v>
      </c>
      <c r="D72" t="s">
        <v>307</v>
      </c>
      <c r="F72" t="str">
        <f t="shared" si="1"/>
        <v>"CONDO_AVG_DOLLAR_PER_SQFT_RESALE"      varchar(50),</v>
      </c>
    </row>
    <row r="73" spans="1:6">
      <c r="A73" t="s">
        <v>8</v>
      </c>
      <c r="B73" s="4" t="s">
        <v>369</v>
      </c>
      <c r="C73" t="s">
        <v>529</v>
      </c>
      <c r="D73" t="s">
        <v>307</v>
      </c>
      <c r="F73" t="str">
        <f t="shared" si="1"/>
        <v>"CONDO_AVG_DOLLAR_PER_SQFT_NEW_CONST"      varchar(50),</v>
      </c>
    </row>
    <row r="74" spans="1:6">
      <c r="A74" t="s">
        <v>8</v>
      </c>
      <c r="B74" s="4" t="s">
        <v>370</v>
      </c>
      <c r="C74" t="s">
        <v>529</v>
      </c>
      <c r="D74" t="s">
        <v>307</v>
      </c>
      <c r="F74" t="str">
        <f t="shared" si="1"/>
        <v>"CONDO_MED_SQFT"      varchar(50),</v>
      </c>
    </row>
    <row r="75" spans="1:6">
      <c r="A75" t="s">
        <v>8</v>
      </c>
      <c r="B75" s="4" t="s">
        <v>371</v>
      </c>
      <c r="C75" t="s">
        <v>529</v>
      </c>
      <c r="D75" t="s">
        <v>307</v>
      </c>
      <c r="F75" t="str">
        <f t="shared" si="1"/>
        <v>"CONDO_MED_SQFT_RESALE"      varchar(50),</v>
      </c>
    </row>
    <row r="76" spans="1:6">
      <c r="A76" t="s">
        <v>8</v>
      </c>
      <c r="B76" s="4" t="s">
        <v>372</v>
      </c>
      <c r="C76" t="s">
        <v>529</v>
      </c>
      <c r="D76" t="s">
        <v>307</v>
      </c>
      <c r="F76" t="str">
        <f t="shared" si="1"/>
        <v>"CONDO_MED_SQFT_NEW_CONST"      varchar(50),</v>
      </c>
    </row>
    <row r="77" spans="1:6">
      <c r="A77" t="s">
        <v>8</v>
      </c>
      <c r="B77" s="4" t="s">
        <v>373</v>
      </c>
      <c r="C77" t="s">
        <v>529</v>
      </c>
      <c r="D77" t="s">
        <v>307</v>
      </c>
      <c r="F77" t="str">
        <f t="shared" si="1"/>
        <v>"CONDO_MED_DOLLAR_PER_SQFT"      varchar(50),</v>
      </c>
    </row>
    <row r="78" spans="1:6">
      <c r="A78" t="s">
        <v>8</v>
      </c>
      <c r="B78" s="4" t="s">
        <v>374</v>
      </c>
      <c r="C78" t="s">
        <v>529</v>
      </c>
      <c r="D78" t="s">
        <v>307</v>
      </c>
      <c r="F78" t="str">
        <f t="shared" si="1"/>
        <v>"CONDO_MED_DOLLAR_PER_SQFT_RESALE"      varchar(50),</v>
      </c>
    </row>
    <row r="79" spans="1:6">
      <c r="A79" t="s">
        <v>8</v>
      </c>
      <c r="B79" s="4" t="s">
        <v>375</v>
      </c>
      <c r="C79" t="s">
        <v>529</v>
      </c>
      <c r="D79" t="s">
        <v>307</v>
      </c>
      <c r="F79" t="str">
        <f t="shared" si="1"/>
        <v>"CONDO_MED_DOLLAR_PER_SQFT_NEW_CONST"      varchar(50),</v>
      </c>
    </row>
    <row r="80" spans="1:6">
      <c r="A80" t="s">
        <v>8</v>
      </c>
      <c r="B80" s="4" t="s">
        <v>376</v>
      </c>
      <c r="C80" t="s">
        <v>529</v>
      </c>
      <c r="D80" t="s">
        <v>307</v>
      </c>
      <c r="F80" t="str">
        <f t="shared" si="1"/>
        <v>"CONDO_12_MONTH_PRICE_CHANGE"      varchar(50),</v>
      </c>
    </row>
    <row r="81" spans="1:6">
      <c r="A81" t="s">
        <v>8</v>
      </c>
      <c r="B81" s="4" t="s">
        <v>377</v>
      </c>
      <c r="C81" t="s">
        <v>529</v>
      </c>
      <c r="D81" t="s">
        <v>307</v>
      </c>
      <c r="F81" t="str">
        <f t="shared" si="1"/>
        <v>"CONDO_12_MONTH_PRICE_CHANGE_RESALE"      varchar(50),</v>
      </c>
    </row>
    <row r="82" spans="1:6">
      <c r="A82" t="s">
        <v>8</v>
      </c>
      <c r="B82" s="4" t="s">
        <v>378</v>
      </c>
      <c r="C82" t="s">
        <v>529</v>
      </c>
      <c r="D82" t="s">
        <v>307</v>
      </c>
      <c r="F82" t="str">
        <f t="shared" si="1"/>
        <v>"CONDO_12_MONTH_PRICE_CHANGE_NEW_CONST"      varchar(50),</v>
      </c>
    </row>
    <row r="83" spans="1:6">
      <c r="A83" t="s">
        <v>8</v>
      </c>
      <c r="B83" s="4" t="s">
        <v>379</v>
      </c>
      <c r="C83" t="s">
        <v>529</v>
      </c>
      <c r="D83" t="s">
        <v>307</v>
      </c>
      <c r="F83" t="str">
        <f t="shared" si="1"/>
        <v>"CONDO_OWNER_OCCUPIED_SALES"      varchar(50),</v>
      </c>
    </row>
    <row r="84" spans="1:6">
      <c r="A84" t="s">
        <v>8</v>
      </c>
      <c r="B84" s="4" t="s">
        <v>380</v>
      </c>
      <c r="C84" t="s">
        <v>529</v>
      </c>
      <c r="D84" t="s">
        <v>307</v>
      </c>
      <c r="F84" t="str">
        <f t="shared" si="1"/>
        <v>"CONDO_NON_OWNER_OCCUPIED_SALES"      varchar(50),</v>
      </c>
    </row>
    <row r="85" spans="1:6">
      <c r="A85" t="s">
        <v>8</v>
      </c>
      <c r="B85" s="4" t="s">
        <v>381</v>
      </c>
      <c r="C85" t="s">
        <v>529</v>
      </c>
      <c r="D85" t="s">
        <v>307</v>
      </c>
      <c r="F85" t="str">
        <f t="shared" si="1"/>
        <v>"CONDO_OWNER_OCCUPIED_AVG_SALES_PRICE"      varchar(50),</v>
      </c>
    </row>
    <row r="86" spans="1:6">
      <c r="A86" t="s">
        <v>8</v>
      </c>
      <c r="B86" s="4" t="s">
        <v>382</v>
      </c>
      <c r="C86" t="s">
        <v>529</v>
      </c>
      <c r="D86" t="s">
        <v>307</v>
      </c>
      <c r="F86" t="str">
        <f t="shared" si="1"/>
        <v>"CONDO_NON_OWNER_OCCUPIED_AVG_SALES_PRICE"      varchar(50),</v>
      </c>
    </row>
    <row r="87" spans="1:6">
      <c r="A87" t="s">
        <v>8</v>
      </c>
      <c r="B87" s="4" t="s">
        <v>383</v>
      </c>
      <c r="C87" t="s">
        <v>529</v>
      </c>
      <c r="D87" t="s">
        <v>307</v>
      </c>
      <c r="F87" t="str">
        <f t="shared" si="1"/>
        <v>"CONDO_OWNER_OCCUPIED_MED_SALES_PRICE"      varchar(50),</v>
      </c>
    </row>
    <row r="88" spans="1:6">
      <c r="A88" t="s">
        <v>8</v>
      </c>
      <c r="B88" s="4" t="s">
        <v>384</v>
      </c>
      <c r="C88" t="s">
        <v>529</v>
      </c>
      <c r="D88" t="s">
        <v>307</v>
      </c>
      <c r="F88" t="str">
        <f t="shared" si="1"/>
        <v>"CONDO_NON_OWNER_OCCUPIED_MED_SALES_PRICE"      varchar(50),</v>
      </c>
    </row>
    <row r="89" spans="1:6">
      <c r="A89" t="s">
        <v>8</v>
      </c>
      <c r="B89" s="4" t="s">
        <v>385</v>
      </c>
      <c r="C89" t="s">
        <v>529</v>
      </c>
      <c r="D89" t="s">
        <v>307</v>
      </c>
      <c r="F89" t="str">
        <f t="shared" si="1"/>
        <v>"CONDO_SALES_BY_PRICE_RANGE_Under $250K"      varchar(50),</v>
      </c>
    </row>
    <row r="90" spans="1:6">
      <c r="A90" t="s">
        <v>8</v>
      </c>
      <c r="B90" s="4" t="s">
        <v>386</v>
      </c>
      <c r="C90" t="s">
        <v>529</v>
      </c>
      <c r="D90" t="s">
        <v>307</v>
      </c>
      <c r="F90" t="str">
        <f t="shared" si="1"/>
        <v>"CONDO_SALES_BY_PRICE_RANGE_$250K-$500K"      varchar(50),</v>
      </c>
    </row>
    <row r="91" spans="1:6">
      <c r="A91" t="s">
        <v>8</v>
      </c>
      <c r="B91" s="4" t="s">
        <v>387</v>
      </c>
      <c r="C91" t="s">
        <v>529</v>
      </c>
      <c r="D91" t="s">
        <v>307</v>
      </c>
      <c r="F91" t="str">
        <f t="shared" si="1"/>
        <v>"CONDO_SALES_BY_PRICE_RANGE_$500K-$750K"      varchar(50),</v>
      </c>
    </row>
    <row r="92" spans="1:6">
      <c r="A92" t="s">
        <v>8</v>
      </c>
      <c r="B92" s="4" t="s">
        <v>388</v>
      </c>
      <c r="C92" t="s">
        <v>529</v>
      </c>
      <c r="D92" t="s">
        <v>307</v>
      </c>
      <c r="F92" t="str">
        <f t="shared" si="1"/>
        <v>"CONDO_SALES_BY_PRICE_RANGE_$750K-$1M"      varchar(50),</v>
      </c>
    </row>
    <row r="93" spans="1:6">
      <c r="A93" t="s">
        <v>8</v>
      </c>
      <c r="B93" s="4" t="s">
        <v>389</v>
      </c>
      <c r="C93" t="s">
        <v>529</v>
      </c>
      <c r="D93" t="s">
        <v>307</v>
      </c>
      <c r="F93" t="str">
        <f t="shared" si="1"/>
        <v>"CONDO_SALES_BY_PRICE_RANGE_$1M-$1.5M"      varchar(50),</v>
      </c>
    </row>
    <row r="94" spans="1:6">
      <c r="A94" t="s">
        <v>8</v>
      </c>
      <c r="B94" s="4" t="s">
        <v>390</v>
      </c>
      <c r="C94" t="s">
        <v>529</v>
      </c>
      <c r="D94" t="s">
        <v>307</v>
      </c>
      <c r="F94" t="str">
        <f t="shared" si="1"/>
        <v>"CONDO_SALES_BY_PRICE_RANGE_$1.5M-$2.0M"      varchar(50),</v>
      </c>
    </row>
    <row r="95" spans="1:6">
      <c r="A95" t="s">
        <v>8</v>
      </c>
      <c r="B95" s="4" t="s">
        <v>391</v>
      </c>
      <c r="C95" t="s">
        <v>529</v>
      </c>
      <c r="D95" t="s">
        <v>307</v>
      </c>
      <c r="F95" t="str">
        <f t="shared" si="1"/>
        <v>"CONDO_SALES_BY_PRICE_RANGE_$2M-$3M"      varchar(50),</v>
      </c>
    </row>
    <row r="96" spans="1:6">
      <c r="A96" t="s">
        <v>8</v>
      </c>
      <c r="B96" s="4" t="s">
        <v>392</v>
      </c>
      <c r="C96" t="s">
        <v>529</v>
      </c>
      <c r="D96" t="s">
        <v>307</v>
      </c>
      <c r="F96" t="str">
        <f t="shared" si="1"/>
        <v>"CONDO_SALES_BY_PRICE_RANGE_$3M-$5M"      varchar(50),</v>
      </c>
    </row>
    <row r="97" spans="1:6">
      <c r="A97" t="s">
        <v>8</v>
      </c>
      <c r="B97" s="4" t="s">
        <v>393</v>
      </c>
      <c r="C97" t="s">
        <v>529</v>
      </c>
      <c r="D97" t="s">
        <v>307</v>
      </c>
      <c r="F97" t="str">
        <f t="shared" si="1"/>
        <v>"CONDO_SALES_BY_PRICE_RANGE_Over $5M"      varchar(50),</v>
      </c>
    </row>
    <row r="98" spans="1:6">
      <c r="A98" t="s">
        <v>8</v>
      </c>
      <c r="B98" s="4" t="s">
        <v>394</v>
      </c>
      <c r="C98" t="s">
        <v>529</v>
      </c>
      <c r="D98" t="s">
        <v>307</v>
      </c>
      <c r="F98" t="str">
        <f t="shared" si="1"/>
        <v>"SFR_ATTACHED_TOTAL_SALES"      varchar(50),</v>
      </c>
    </row>
    <row r="99" spans="1:6">
      <c r="A99" t="s">
        <v>8</v>
      </c>
      <c r="B99" s="4" t="s">
        <v>395</v>
      </c>
      <c r="C99" t="s">
        <v>529</v>
      </c>
      <c r="D99" t="s">
        <v>307</v>
      </c>
      <c r="F99" t="str">
        <f t="shared" si="1"/>
        <v>"SFR_ATTACHED_TOTAL_SALES_RESALE"      varchar(50),</v>
      </c>
    </row>
    <row r="100" spans="1:6">
      <c r="A100" t="s">
        <v>8</v>
      </c>
      <c r="B100" s="4" t="s">
        <v>396</v>
      </c>
      <c r="C100" t="s">
        <v>529</v>
      </c>
      <c r="D100" t="s">
        <v>307</v>
      </c>
      <c r="F100" t="str">
        <f t="shared" si="1"/>
        <v>"SFR_ATTACHED_TOTAL_SALES_NEW_CONST"      varchar(50),</v>
      </c>
    </row>
    <row r="101" spans="1:6">
      <c r="A101" t="s">
        <v>8</v>
      </c>
      <c r="B101" s="4" t="s">
        <v>397</v>
      </c>
      <c r="C101" t="s">
        <v>529</v>
      </c>
      <c r="D101" t="s">
        <v>307</v>
      </c>
      <c r="F101" t="str">
        <f t="shared" si="1"/>
        <v>"SFR_ATTACHED_AVG_SALES_PRICE"      varchar(50),</v>
      </c>
    </row>
    <row r="102" spans="1:6">
      <c r="A102" t="s">
        <v>8</v>
      </c>
      <c r="B102" s="4" t="s">
        <v>398</v>
      </c>
      <c r="C102" t="s">
        <v>529</v>
      </c>
      <c r="D102" t="s">
        <v>307</v>
      </c>
      <c r="F102" t="str">
        <f t="shared" si="1"/>
        <v>"SFR_ATTACHED_AVG_SALES_PRICE_RESALE"      varchar(50),</v>
      </c>
    </row>
    <row r="103" spans="1:6">
      <c r="A103" t="s">
        <v>8</v>
      </c>
      <c r="B103" s="4" t="s">
        <v>399</v>
      </c>
      <c r="C103" t="s">
        <v>529</v>
      </c>
      <c r="D103" t="s">
        <v>307</v>
      </c>
      <c r="F103" t="str">
        <f t="shared" si="1"/>
        <v>"SFR_ATTACHED_AVG_SALES_PRICE_NEW_CONST"      varchar(50),</v>
      </c>
    </row>
    <row r="104" spans="1:6">
      <c r="A104" t="s">
        <v>8</v>
      </c>
      <c r="B104" s="4" t="s">
        <v>400</v>
      </c>
      <c r="C104" t="s">
        <v>529</v>
      </c>
      <c r="D104" t="s">
        <v>307</v>
      </c>
      <c r="F104" t="str">
        <f t="shared" si="1"/>
        <v>"SFR_ATTACHED_MED_SALES_PRICE"      varchar(50),</v>
      </c>
    </row>
    <row r="105" spans="1:6">
      <c r="A105" t="s">
        <v>8</v>
      </c>
      <c r="B105" s="4" t="s">
        <v>401</v>
      </c>
      <c r="C105" t="s">
        <v>529</v>
      </c>
      <c r="D105" t="s">
        <v>307</v>
      </c>
      <c r="F105" t="str">
        <f t="shared" si="1"/>
        <v>"SFR_ATTACHED_MED_SALES_PRICE_RESALE"      varchar(50),</v>
      </c>
    </row>
    <row r="106" spans="1:6">
      <c r="A106" t="s">
        <v>8</v>
      </c>
      <c r="B106" s="4" t="s">
        <v>402</v>
      </c>
      <c r="C106" t="s">
        <v>529</v>
      </c>
      <c r="D106" t="s">
        <v>307</v>
      </c>
      <c r="F106" t="str">
        <f t="shared" si="1"/>
        <v>"SFR_ATTACHED_MED_SALES_PRICE_NEW_CONST"      varchar(50),</v>
      </c>
    </row>
    <row r="107" spans="1:6">
      <c r="A107" t="s">
        <v>8</v>
      </c>
      <c r="B107" s="4" t="s">
        <v>403</v>
      </c>
      <c r="C107" t="s">
        <v>529</v>
      </c>
      <c r="D107" t="s">
        <v>307</v>
      </c>
      <c r="F107" t="str">
        <f t="shared" si="1"/>
        <v>"SFR_ATTACHED_UPPER_QUARTILE_SALES_PRICE"      varchar(50),</v>
      </c>
    </row>
    <row r="108" spans="1:6">
      <c r="A108" t="s">
        <v>8</v>
      </c>
      <c r="B108" s="4" t="s">
        <v>404</v>
      </c>
      <c r="C108" t="s">
        <v>529</v>
      </c>
      <c r="D108" t="s">
        <v>307</v>
      </c>
      <c r="F108" t="str">
        <f t="shared" si="1"/>
        <v>"SFR_ATTACHED_UPPER_QUARTILE_SALES_PRICE_RESALE"      varchar(50),</v>
      </c>
    </row>
    <row r="109" spans="1:6">
      <c r="A109" t="s">
        <v>8</v>
      </c>
      <c r="B109" s="4" t="s">
        <v>405</v>
      </c>
      <c r="C109" t="s">
        <v>529</v>
      </c>
      <c r="D109" t="s">
        <v>307</v>
      </c>
      <c r="F109" t="str">
        <f t="shared" si="1"/>
        <v>"SFR_ATTACHED_UPPER_QUARTILE_SALES_PRICE_NEW_CONST"      varchar(50),</v>
      </c>
    </row>
    <row r="110" spans="1:6">
      <c r="A110" t="s">
        <v>8</v>
      </c>
      <c r="B110" s="4" t="s">
        <v>406</v>
      </c>
      <c r="C110" t="s">
        <v>529</v>
      </c>
      <c r="D110" t="s">
        <v>307</v>
      </c>
      <c r="F110" t="str">
        <f t="shared" si="1"/>
        <v>"SFR_ATTACHED_LOWER_QUARTILE_SALES_PRICE"      varchar(50),</v>
      </c>
    </row>
    <row r="111" spans="1:6">
      <c r="A111" t="s">
        <v>8</v>
      </c>
      <c r="B111" s="4" t="s">
        <v>407</v>
      </c>
      <c r="C111" t="s">
        <v>529</v>
      </c>
      <c r="D111" t="s">
        <v>307</v>
      </c>
      <c r="F111" t="str">
        <f t="shared" si="1"/>
        <v>"SFR_ATTACHED_LOWER_QUARTILE_SALES_PRICE_RESALE"      varchar(50),</v>
      </c>
    </row>
    <row r="112" spans="1:6">
      <c r="A112" t="s">
        <v>8</v>
      </c>
      <c r="B112" s="4" t="s">
        <v>408</v>
      </c>
      <c r="C112" t="s">
        <v>529</v>
      </c>
      <c r="D112" t="s">
        <v>307</v>
      </c>
      <c r="F112" t="str">
        <f t="shared" si="1"/>
        <v>"SFR_ATTACHED_LOWER_QUARTILE_SALES_PRICE_NEW_CONST"      varchar(50),</v>
      </c>
    </row>
    <row r="113" spans="1:6">
      <c r="A113" t="s">
        <v>8</v>
      </c>
      <c r="B113" s="4" t="s">
        <v>409</v>
      </c>
      <c r="C113" t="s">
        <v>529</v>
      </c>
      <c r="D113" t="s">
        <v>307</v>
      </c>
      <c r="F113" t="str">
        <f t="shared" si="1"/>
        <v>"SFR_ATTACHED_AVG_SQFT"      varchar(50),</v>
      </c>
    </row>
    <row r="114" spans="1:6">
      <c r="A114" t="s">
        <v>8</v>
      </c>
      <c r="B114" s="4" t="s">
        <v>410</v>
      </c>
      <c r="C114" t="s">
        <v>529</v>
      </c>
      <c r="D114" t="s">
        <v>307</v>
      </c>
      <c r="F114" t="str">
        <f t="shared" si="1"/>
        <v>"SFR_ATTACHED_AVG_SQFT_RESALE"      varchar(50),</v>
      </c>
    </row>
    <row r="115" spans="1:6">
      <c r="A115" t="s">
        <v>8</v>
      </c>
      <c r="B115" s="4" t="s">
        <v>411</v>
      </c>
      <c r="C115" t="s">
        <v>529</v>
      </c>
      <c r="D115" t="s">
        <v>307</v>
      </c>
      <c r="F115" t="str">
        <f t="shared" si="1"/>
        <v>"SFR_ATTACHED_AVG_SQFT_NEW_CONST"      varchar(50),</v>
      </c>
    </row>
    <row r="116" spans="1:6">
      <c r="A116" t="s">
        <v>8</v>
      </c>
      <c r="B116" s="4" t="s">
        <v>412</v>
      </c>
      <c r="C116" t="s">
        <v>529</v>
      </c>
      <c r="D116" t="s">
        <v>307</v>
      </c>
      <c r="F116" t="str">
        <f t="shared" si="1"/>
        <v>"SFR_ATTACHED_AVG_DOLLAR_PER_SQFT"      varchar(50),</v>
      </c>
    </row>
    <row r="117" spans="1:6">
      <c r="A117" t="s">
        <v>8</v>
      </c>
      <c r="B117" s="4" t="s">
        <v>413</v>
      </c>
      <c r="C117" t="s">
        <v>529</v>
      </c>
      <c r="D117" t="s">
        <v>307</v>
      </c>
      <c r="F117" t="str">
        <f t="shared" si="1"/>
        <v>"SFR_ATTACHED_AVG_DOLLAR_PER_SQFT_RESALE"      varchar(50),</v>
      </c>
    </row>
    <row r="118" spans="1:6">
      <c r="A118" t="s">
        <v>8</v>
      </c>
      <c r="B118" s="4" t="s">
        <v>414</v>
      </c>
      <c r="C118" t="s">
        <v>529</v>
      </c>
      <c r="D118" t="s">
        <v>307</v>
      </c>
      <c r="F118" t="str">
        <f t="shared" si="1"/>
        <v>"SFR_ATTACHED_AVG_DOLLAR_PER_SQFT_NEW_CONST"      varchar(50),</v>
      </c>
    </row>
    <row r="119" spans="1:6">
      <c r="A119" t="s">
        <v>8</v>
      </c>
      <c r="B119" s="4" t="s">
        <v>415</v>
      </c>
      <c r="C119" t="s">
        <v>529</v>
      </c>
      <c r="D119" t="s">
        <v>307</v>
      </c>
      <c r="F119" t="str">
        <f t="shared" si="1"/>
        <v>"SFR_ATTACHED_MED_SQFT"      varchar(50),</v>
      </c>
    </row>
    <row r="120" spans="1:6">
      <c r="A120" t="s">
        <v>8</v>
      </c>
      <c r="B120" s="4" t="s">
        <v>416</v>
      </c>
      <c r="C120" t="s">
        <v>529</v>
      </c>
      <c r="D120" t="s">
        <v>307</v>
      </c>
      <c r="F120" t="str">
        <f t="shared" si="1"/>
        <v>"SFR_ATTACHED_MED_SQFT_RESALE"      varchar(50),</v>
      </c>
    </row>
    <row r="121" spans="1:6">
      <c r="A121" t="s">
        <v>8</v>
      </c>
      <c r="B121" s="4" t="s">
        <v>417</v>
      </c>
      <c r="C121" t="s">
        <v>529</v>
      </c>
      <c r="D121" t="s">
        <v>307</v>
      </c>
      <c r="F121" t="str">
        <f t="shared" si="1"/>
        <v>"SFR_ATTACHED_MED_SQFT_NEW_CONST"      varchar(50),</v>
      </c>
    </row>
    <row r="122" spans="1:6">
      <c r="A122" t="s">
        <v>8</v>
      </c>
      <c r="B122" s="4" t="s">
        <v>418</v>
      </c>
      <c r="C122" t="s">
        <v>529</v>
      </c>
      <c r="D122" t="s">
        <v>307</v>
      </c>
      <c r="F122" t="str">
        <f t="shared" si="1"/>
        <v>"SFR_ATTACHED_MED_DOLLAR_PER_SQFT"      varchar(50),</v>
      </c>
    </row>
    <row r="123" spans="1:6">
      <c r="A123" t="s">
        <v>8</v>
      </c>
      <c r="B123" s="4" t="s">
        <v>419</v>
      </c>
      <c r="C123" t="s">
        <v>529</v>
      </c>
      <c r="D123" t="s">
        <v>307</v>
      </c>
      <c r="F123" t="str">
        <f t="shared" si="1"/>
        <v>"SFR_ATTACHED_MED_DOLLAR_PER_SQFT_RESALE"      varchar(50),</v>
      </c>
    </row>
    <row r="124" spans="1:6">
      <c r="A124" t="s">
        <v>8</v>
      </c>
      <c r="B124" s="4" t="s">
        <v>420</v>
      </c>
      <c r="C124" t="s">
        <v>529</v>
      </c>
      <c r="D124" t="s">
        <v>307</v>
      </c>
      <c r="F124" t="str">
        <f t="shared" si="1"/>
        <v>"SFR_ATTACHED_MED_DOLLAR_PER_SQFT_NEW_CONST"      varchar(50),</v>
      </c>
    </row>
    <row r="125" spans="1:6">
      <c r="A125" t="s">
        <v>8</v>
      </c>
      <c r="B125" s="4" t="s">
        <v>421</v>
      </c>
      <c r="C125" t="s">
        <v>529</v>
      </c>
      <c r="D125" t="s">
        <v>307</v>
      </c>
      <c r="F125" t="str">
        <f t="shared" si="1"/>
        <v>"SFR_ATTACHED_12_MONTH_PRICE_CHANGE"      varchar(50),</v>
      </c>
    </row>
    <row r="126" spans="1:6">
      <c r="A126" t="s">
        <v>8</v>
      </c>
      <c r="B126" s="4" t="s">
        <v>422</v>
      </c>
      <c r="C126" t="s">
        <v>529</v>
      </c>
      <c r="D126" t="s">
        <v>307</v>
      </c>
      <c r="F126" t="str">
        <f t="shared" si="1"/>
        <v>"SFR_ATTACHED_12_MONTH_PRICE_CHANGE_RESALE"      varchar(50),</v>
      </c>
    </row>
    <row r="127" spans="1:6">
      <c r="A127" t="s">
        <v>8</v>
      </c>
      <c r="B127" s="4" t="s">
        <v>423</v>
      </c>
      <c r="C127" t="s">
        <v>529</v>
      </c>
      <c r="D127" t="s">
        <v>307</v>
      </c>
      <c r="F127" t="str">
        <f t="shared" si="1"/>
        <v>"SFR_ATTACHED_12_MONTH_PRICE_CHANGE_NEW_CONST"      varchar(50),</v>
      </c>
    </row>
    <row r="128" spans="1:6">
      <c r="A128" t="s">
        <v>8</v>
      </c>
      <c r="B128" s="4" t="s">
        <v>424</v>
      </c>
      <c r="C128" t="s">
        <v>529</v>
      </c>
      <c r="D128" t="s">
        <v>307</v>
      </c>
      <c r="F128" t="str">
        <f t="shared" si="1"/>
        <v>"SFR_ATTACHED_OWNER_OCCUPIED_SALES"      varchar(50),</v>
      </c>
    </row>
    <row r="129" spans="1:6">
      <c r="A129" t="s">
        <v>8</v>
      </c>
      <c r="B129" s="4" t="s">
        <v>425</v>
      </c>
      <c r="C129" t="s">
        <v>529</v>
      </c>
      <c r="D129" t="s">
        <v>307</v>
      </c>
      <c r="F129" t="str">
        <f t="shared" si="1"/>
        <v>"SFR_ATTACHED_NON_OWNER_OCCUPIED_SALES"      varchar(50),</v>
      </c>
    </row>
    <row r="130" spans="1:6">
      <c r="A130" t="s">
        <v>8</v>
      </c>
      <c r="B130" s="4" t="s">
        <v>426</v>
      </c>
      <c r="C130" t="s">
        <v>529</v>
      </c>
      <c r="D130" t="s">
        <v>307</v>
      </c>
      <c r="F130" t="str">
        <f t="shared" ref="F130:F193" si="2">_xlfn.CONCAT(A130:D130)</f>
        <v>"SFR_ATTACHED_OWNER_OCCUPIED_AVG_SALES_PRICE"      varchar(50),</v>
      </c>
    </row>
    <row r="131" spans="1:6">
      <c r="A131" t="s">
        <v>8</v>
      </c>
      <c r="B131" s="4" t="s">
        <v>427</v>
      </c>
      <c r="C131" t="s">
        <v>529</v>
      </c>
      <c r="D131" t="s">
        <v>307</v>
      </c>
      <c r="F131" t="str">
        <f t="shared" si="2"/>
        <v>"SFR_ATTACHED_NON_OWNER_OCCUPIED_AVG_SALES_PRICE"      varchar(50),</v>
      </c>
    </row>
    <row r="132" spans="1:6">
      <c r="A132" t="s">
        <v>8</v>
      </c>
      <c r="B132" s="4" t="s">
        <v>428</v>
      </c>
      <c r="C132" t="s">
        <v>529</v>
      </c>
      <c r="D132" t="s">
        <v>307</v>
      </c>
      <c r="F132" t="str">
        <f t="shared" si="2"/>
        <v>"SFR_ATTACHED_OWNER_OCCUPIED_MED_SALES_PRICE"      varchar(50),</v>
      </c>
    </row>
    <row r="133" spans="1:6">
      <c r="A133" t="s">
        <v>8</v>
      </c>
      <c r="B133" s="4" t="s">
        <v>429</v>
      </c>
      <c r="C133" t="s">
        <v>529</v>
      </c>
      <c r="D133" t="s">
        <v>307</v>
      </c>
      <c r="F133" t="str">
        <f t="shared" si="2"/>
        <v>"SFR_ATTACHED_NON_OWNER_OCCUPIED_MED_SALES_PRICE"      varchar(50),</v>
      </c>
    </row>
    <row r="134" spans="1:6">
      <c r="A134" t="s">
        <v>8</v>
      </c>
      <c r="B134" s="4" t="s">
        <v>430</v>
      </c>
      <c r="C134" t="s">
        <v>529</v>
      </c>
      <c r="D134" t="s">
        <v>307</v>
      </c>
      <c r="F134" t="str">
        <f t="shared" si="2"/>
        <v>"SFR_ATTACHED_SALES_BY_PRICE_RANGE_Under $250K"      varchar(50),</v>
      </c>
    </row>
    <row r="135" spans="1:6">
      <c r="A135" t="s">
        <v>8</v>
      </c>
      <c r="B135" s="4" t="s">
        <v>431</v>
      </c>
      <c r="C135" t="s">
        <v>529</v>
      </c>
      <c r="D135" t="s">
        <v>307</v>
      </c>
      <c r="F135" t="str">
        <f t="shared" si="2"/>
        <v>"SFR_ATTACHED_SALES_BY_PRICE_RANGE_$250K-$500K"      varchar(50),</v>
      </c>
    </row>
    <row r="136" spans="1:6">
      <c r="A136" t="s">
        <v>8</v>
      </c>
      <c r="B136" s="4" t="s">
        <v>432</v>
      </c>
      <c r="C136" t="s">
        <v>529</v>
      </c>
      <c r="D136" t="s">
        <v>307</v>
      </c>
      <c r="F136" t="str">
        <f t="shared" si="2"/>
        <v>"SFR_ATTACHED_SALES_BY_PRICE_RANGE_$500K-$750K"      varchar(50),</v>
      </c>
    </row>
    <row r="137" spans="1:6">
      <c r="A137" t="s">
        <v>8</v>
      </c>
      <c r="B137" s="4" t="s">
        <v>433</v>
      </c>
      <c r="C137" t="s">
        <v>529</v>
      </c>
      <c r="D137" t="s">
        <v>307</v>
      </c>
      <c r="F137" t="str">
        <f t="shared" si="2"/>
        <v>"SFR_ATTACHED_SALES_BY_PRICE_RANGE_$750K-$1M"      varchar(50),</v>
      </c>
    </row>
    <row r="138" spans="1:6">
      <c r="A138" t="s">
        <v>8</v>
      </c>
      <c r="B138" s="4" t="s">
        <v>434</v>
      </c>
      <c r="C138" t="s">
        <v>529</v>
      </c>
      <c r="D138" t="s">
        <v>307</v>
      </c>
      <c r="F138" t="str">
        <f t="shared" si="2"/>
        <v>"SFR_ATTACHED_SALES_BY_PRICE_RANGE_$1M-$1 5M"      varchar(50),</v>
      </c>
    </row>
    <row r="139" spans="1:6">
      <c r="A139" t="s">
        <v>8</v>
      </c>
      <c r="B139" s="4" t="s">
        <v>435</v>
      </c>
      <c r="C139" t="s">
        <v>529</v>
      </c>
      <c r="D139" t="s">
        <v>307</v>
      </c>
      <c r="F139" t="str">
        <f t="shared" si="2"/>
        <v>"SFR_ATTACHED_SALES_BY_PRICE_RANGE_$1 5M-$2 0M"      varchar(50),</v>
      </c>
    </row>
    <row r="140" spans="1:6">
      <c r="A140" t="s">
        <v>8</v>
      </c>
      <c r="B140" s="4" t="s">
        <v>436</v>
      </c>
      <c r="C140" t="s">
        <v>529</v>
      </c>
      <c r="D140" t="s">
        <v>307</v>
      </c>
      <c r="F140" t="str">
        <f t="shared" si="2"/>
        <v>"SFR_ATTACHED_SALES_BY_PRICE_RANGE_$2M-$3M"      varchar(50),</v>
      </c>
    </row>
    <row r="141" spans="1:6">
      <c r="A141" t="s">
        <v>8</v>
      </c>
      <c r="B141" s="4" t="s">
        <v>437</v>
      </c>
      <c r="C141" t="s">
        <v>529</v>
      </c>
      <c r="D141" t="s">
        <v>307</v>
      </c>
      <c r="F141" t="str">
        <f t="shared" si="2"/>
        <v>"SFR_ATTACHED_SALES_BY_PRICE_RANGE_$3M-$5M"      varchar(50),</v>
      </c>
    </row>
    <row r="142" spans="1:6">
      <c r="A142" t="s">
        <v>8</v>
      </c>
      <c r="B142" s="4" t="s">
        <v>438</v>
      </c>
      <c r="C142" t="s">
        <v>529</v>
      </c>
      <c r="D142" t="s">
        <v>307</v>
      </c>
      <c r="F142" t="str">
        <f t="shared" si="2"/>
        <v>"SFR_ATTACHED_SALES_BY_PRICE_RANGE_Over $5M"      varchar(50),</v>
      </c>
    </row>
    <row r="143" spans="1:6">
      <c r="A143" t="s">
        <v>8</v>
      </c>
      <c r="B143" s="4" t="s">
        <v>439</v>
      </c>
      <c r="C143" t="s">
        <v>529</v>
      </c>
      <c r="D143" t="s">
        <v>307</v>
      </c>
      <c r="F143" t="str">
        <f t="shared" si="2"/>
        <v>"SFR_DETACHED_TOTAL_SALES"      varchar(50),</v>
      </c>
    </row>
    <row r="144" spans="1:6">
      <c r="A144" t="s">
        <v>8</v>
      </c>
      <c r="B144" s="4" t="s">
        <v>440</v>
      </c>
      <c r="C144" t="s">
        <v>529</v>
      </c>
      <c r="D144" t="s">
        <v>307</v>
      </c>
      <c r="F144" t="str">
        <f t="shared" si="2"/>
        <v>"SFR_DETACHED_TOTAL_SALES_RESALE"      varchar(50),</v>
      </c>
    </row>
    <row r="145" spans="1:6">
      <c r="A145" t="s">
        <v>8</v>
      </c>
      <c r="B145" s="4" t="s">
        <v>441</v>
      </c>
      <c r="C145" t="s">
        <v>529</v>
      </c>
      <c r="D145" t="s">
        <v>307</v>
      </c>
      <c r="F145" t="str">
        <f t="shared" si="2"/>
        <v>"SFR_DETACHED_TOTAL_SALES_NEW_CONST"      varchar(50),</v>
      </c>
    </row>
    <row r="146" spans="1:6">
      <c r="A146" t="s">
        <v>8</v>
      </c>
      <c r="B146" s="4" t="s">
        <v>442</v>
      </c>
      <c r="C146" t="s">
        <v>529</v>
      </c>
      <c r="D146" t="s">
        <v>307</v>
      </c>
      <c r="F146" t="str">
        <f t="shared" si="2"/>
        <v>"SFR_DETACHED_AVG_SALES_PRICE"      varchar(50),</v>
      </c>
    </row>
    <row r="147" spans="1:6">
      <c r="A147" t="s">
        <v>8</v>
      </c>
      <c r="B147" s="4" t="s">
        <v>443</v>
      </c>
      <c r="C147" t="s">
        <v>529</v>
      </c>
      <c r="D147" t="s">
        <v>307</v>
      </c>
      <c r="F147" t="str">
        <f t="shared" si="2"/>
        <v>"SFR_DETACHED_AVG_SALES_PRICE_RESALE"      varchar(50),</v>
      </c>
    </row>
    <row r="148" spans="1:6">
      <c r="A148" t="s">
        <v>8</v>
      </c>
      <c r="B148" s="4" t="s">
        <v>444</v>
      </c>
      <c r="C148" t="s">
        <v>529</v>
      </c>
      <c r="D148" t="s">
        <v>307</v>
      </c>
      <c r="F148" t="str">
        <f t="shared" si="2"/>
        <v>"SFR_DETACHED_AVG_SALES_PRICE_NEW_CONST"      varchar(50),</v>
      </c>
    </row>
    <row r="149" spans="1:6">
      <c r="A149" t="s">
        <v>8</v>
      </c>
      <c r="B149" s="4" t="s">
        <v>445</v>
      </c>
      <c r="C149" t="s">
        <v>529</v>
      </c>
      <c r="D149" t="s">
        <v>307</v>
      </c>
      <c r="F149" t="str">
        <f t="shared" si="2"/>
        <v>"SFR_DETACHED_MED_SALES_PRICE"      varchar(50),</v>
      </c>
    </row>
    <row r="150" spans="1:6">
      <c r="A150" t="s">
        <v>8</v>
      </c>
      <c r="B150" s="4" t="s">
        <v>446</v>
      </c>
      <c r="C150" t="s">
        <v>529</v>
      </c>
      <c r="D150" t="s">
        <v>307</v>
      </c>
      <c r="F150" t="str">
        <f t="shared" si="2"/>
        <v>"SFR_DETACHED_MED_SALES_PRICE_RESALE"      varchar(50),</v>
      </c>
    </row>
    <row r="151" spans="1:6">
      <c r="A151" t="s">
        <v>8</v>
      </c>
      <c r="B151" s="4" t="s">
        <v>447</v>
      </c>
      <c r="C151" t="s">
        <v>529</v>
      </c>
      <c r="D151" t="s">
        <v>307</v>
      </c>
      <c r="F151" t="str">
        <f t="shared" si="2"/>
        <v>"SFR_DETACHED_MED_SALES_PRICE_NEW_CONST"      varchar(50),</v>
      </c>
    </row>
    <row r="152" spans="1:6">
      <c r="A152" t="s">
        <v>8</v>
      </c>
      <c r="B152" s="4" t="s">
        <v>448</v>
      </c>
      <c r="C152" t="s">
        <v>529</v>
      </c>
      <c r="D152" t="s">
        <v>307</v>
      </c>
      <c r="F152" t="str">
        <f t="shared" si="2"/>
        <v>"SFR_DETACHED_UPPER_QUARTILE_SALES_PRICE"      varchar(50),</v>
      </c>
    </row>
    <row r="153" spans="1:6">
      <c r="A153" t="s">
        <v>8</v>
      </c>
      <c r="B153" s="4" t="s">
        <v>449</v>
      </c>
      <c r="C153" t="s">
        <v>529</v>
      </c>
      <c r="D153" t="s">
        <v>307</v>
      </c>
      <c r="F153" t="str">
        <f t="shared" si="2"/>
        <v>"SFR_DETACHED_UPPER_QUARTILE_SALES_PRICE_RESALE"      varchar(50),</v>
      </c>
    </row>
    <row r="154" spans="1:6">
      <c r="A154" t="s">
        <v>8</v>
      </c>
      <c r="B154" s="4" t="s">
        <v>450</v>
      </c>
      <c r="C154" t="s">
        <v>529</v>
      </c>
      <c r="D154" t="s">
        <v>307</v>
      </c>
      <c r="F154" t="str">
        <f t="shared" si="2"/>
        <v>"SFR_DETACHED_UPPER_QUARTILE_SALES_PRICE_NEW_CONST"      varchar(50),</v>
      </c>
    </row>
    <row r="155" spans="1:6">
      <c r="A155" t="s">
        <v>8</v>
      </c>
      <c r="B155" s="4" t="s">
        <v>451</v>
      </c>
      <c r="C155" t="s">
        <v>529</v>
      </c>
      <c r="D155" t="s">
        <v>307</v>
      </c>
      <c r="F155" t="str">
        <f t="shared" si="2"/>
        <v>"SFR_DETACHED_LOWER_QUARTILE_SALES_PRICE"      varchar(50),</v>
      </c>
    </row>
    <row r="156" spans="1:6">
      <c r="A156" t="s">
        <v>8</v>
      </c>
      <c r="B156" s="4" t="s">
        <v>452</v>
      </c>
      <c r="C156" t="s">
        <v>529</v>
      </c>
      <c r="D156" t="s">
        <v>307</v>
      </c>
      <c r="F156" t="str">
        <f t="shared" si="2"/>
        <v>"SFR_DETACHED_LOWER_QUARTILE_SALES_PRICE_RESALE"      varchar(50),</v>
      </c>
    </row>
    <row r="157" spans="1:6">
      <c r="A157" t="s">
        <v>8</v>
      </c>
      <c r="B157" s="4" t="s">
        <v>453</v>
      </c>
      <c r="C157" t="s">
        <v>529</v>
      </c>
      <c r="D157" t="s">
        <v>307</v>
      </c>
      <c r="F157" t="str">
        <f t="shared" si="2"/>
        <v>"SFR_DETACHED_LOWER_QUARTILE_SALES_PRICE_NEW_CONST"      varchar(50),</v>
      </c>
    </row>
    <row r="158" spans="1:6">
      <c r="A158" t="s">
        <v>8</v>
      </c>
      <c r="B158" s="4" t="s">
        <v>454</v>
      </c>
      <c r="C158" t="s">
        <v>529</v>
      </c>
      <c r="D158" t="s">
        <v>307</v>
      </c>
      <c r="F158" t="str">
        <f t="shared" si="2"/>
        <v>"SFR_DETACHED_AVG_SQFT"      varchar(50),</v>
      </c>
    </row>
    <row r="159" spans="1:6">
      <c r="A159" t="s">
        <v>8</v>
      </c>
      <c r="B159" s="4" t="s">
        <v>455</v>
      </c>
      <c r="C159" t="s">
        <v>529</v>
      </c>
      <c r="D159" t="s">
        <v>307</v>
      </c>
      <c r="F159" t="str">
        <f t="shared" si="2"/>
        <v>"SFR_DETACHED_AVG_SQFT_RESALE"      varchar(50),</v>
      </c>
    </row>
    <row r="160" spans="1:6">
      <c r="A160" t="s">
        <v>8</v>
      </c>
      <c r="B160" s="4" t="s">
        <v>456</v>
      </c>
      <c r="C160" t="s">
        <v>529</v>
      </c>
      <c r="D160" t="s">
        <v>307</v>
      </c>
      <c r="F160" t="str">
        <f t="shared" si="2"/>
        <v>"SFR_DETACHED_AVG_SQFT_NEW_CONST"      varchar(50),</v>
      </c>
    </row>
    <row r="161" spans="1:6">
      <c r="A161" t="s">
        <v>8</v>
      </c>
      <c r="B161" s="4" t="s">
        <v>457</v>
      </c>
      <c r="C161" t="s">
        <v>529</v>
      </c>
      <c r="D161" t="s">
        <v>307</v>
      </c>
      <c r="F161" t="str">
        <f t="shared" si="2"/>
        <v>"SFR_DETACHED_AVG_DOLLAR_PER_SQFT"      varchar(50),</v>
      </c>
    </row>
    <row r="162" spans="1:6">
      <c r="A162" t="s">
        <v>8</v>
      </c>
      <c r="B162" s="4" t="s">
        <v>458</v>
      </c>
      <c r="C162" t="s">
        <v>529</v>
      </c>
      <c r="D162" t="s">
        <v>307</v>
      </c>
      <c r="F162" t="str">
        <f t="shared" si="2"/>
        <v>"SFR_DETACHED_AVG_DOLLAR_PER_SQFT_RESALE"      varchar(50),</v>
      </c>
    </row>
    <row r="163" spans="1:6">
      <c r="A163" t="s">
        <v>8</v>
      </c>
      <c r="B163" s="4" t="s">
        <v>459</v>
      </c>
      <c r="C163" t="s">
        <v>529</v>
      </c>
      <c r="D163" t="s">
        <v>307</v>
      </c>
      <c r="F163" t="str">
        <f t="shared" si="2"/>
        <v>"SFR_DETACHED_AVG_DOLLAR_PER_SQFT_NEW_CONST"      varchar(50),</v>
      </c>
    </row>
    <row r="164" spans="1:6">
      <c r="A164" t="s">
        <v>8</v>
      </c>
      <c r="B164" s="4" t="s">
        <v>460</v>
      </c>
      <c r="C164" t="s">
        <v>529</v>
      </c>
      <c r="D164" t="s">
        <v>307</v>
      </c>
      <c r="F164" t="str">
        <f t="shared" si="2"/>
        <v>"SFR_DETACHED_MED_SQFT"      varchar(50),</v>
      </c>
    </row>
    <row r="165" spans="1:6">
      <c r="A165" t="s">
        <v>8</v>
      </c>
      <c r="B165" s="4" t="s">
        <v>461</v>
      </c>
      <c r="C165" t="s">
        <v>529</v>
      </c>
      <c r="D165" t="s">
        <v>307</v>
      </c>
      <c r="F165" t="str">
        <f t="shared" si="2"/>
        <v>"SFR_DETACHED_MED_SQFT_RESALE"      varchar(50),</v>
      </c>
    </row>
    <row r="166" spans="1:6">
      <c r="A166" t="s">
        <v>8</v>
      </c>
      <c r="B166" s="4" t="s">
        <v>462</v>
      </c>
      <c r="C166" t="s">
        <v>529</v>
      </c>
      <c r="D166" t="s">
        <v>307</v>
      </c>
      <c r="F166" t="str">
        <f t="shared" si="2"/>
        <v>"SFR_DETACHED_MED_SQFT_NEW_CONST"      varchar(50),</v>
      </c>
    </row>
    <row r="167" spans="1:6">
      <c r="A167" t="s">
        <v>8</v>
      </c>
      <c r="B167" s="4" t="s">
        <v>463</v>
      </c>
      <c r="C167" t="s">
        <v>529</v>
      </c>
      <c r="D167" t="s">
        <v>307</v>
      </c>
      <c r="F167" t="str">
        <f t="shared" si="2"/>
        <v>"SFR_DETACHED_MED_DOLLAR_PER_SQFT"      varchar(50),</v>
      </c>
    </row>
    <row r="168" spans="1:6">
      <c r="A168" t="s">
        <v>8</v>
      </c>
      <c r="B168" s="4" t="s">
        <v>464</v>
      </c>
      <c r="C168" t="s">
        <v>529</v>
      </c>
      <c r="D168" t="s">
        <v>307</v>
      </c>
      <c r="F168" t="str">
        <f t="shared" si="2"/>
        <v>"SFR_DETACHED_MED_DOLLAR_PER_SQFT_RESALE"      varchar(50),</v>
      </c>
    </row>
    <row r="169" spans="1:6">
      <c r="A169" t="s">
        <v>8</v>
      </c>
      <c r="B169" s="4" t="s">
        <v>465</v>
      </c>
      <c r="C169" t="s">
        <v>529</v>
      </c>
      <c r="D169" t="s">
        <v>307</v>
      </c>
      <c r="F169" t="str">
        <f t="shared" si="2"/>
        <v>"SFR_DETACHED_MED_DOLLAR_PER_SQFT_NEW_CONST"      varchar(50),</v>
      </c>
    </row>
    <row r="170" spans="1:6">
      <c r="A170" t="s">
        <v>8</v>
      </c>
      <c r="B170" s="4" t="s">
        <v>466</v>
      </c>
      <c r="C170" t="s">
        <v>529</v>
      </c>
      <c r="D170" t="s">
        <v>307</v>
      </c>
      <c r="F170" t="str">
        <f t="shared" si="2"/>
        <v>"SFR_DETACHED_12_MONTH_PRICE_CHANGE"      varchar(50),</v>
      </c>
    </row>
    <row r="171" spans="1:6">
      <c r="A171" t="s">
        <v>8</v>
      </c>
      <c r="B171" s="4" t="s">
        <v>467</v>
      </c>
      <c r="C171" t="s">
        <v>529</v>
      </c>
      <c r="D171" t="s">
        <v>307</v>
      </c>
      <c r="F171" t="str">
        <f t="shared" si="2"/>
        <v>"SFR_DETACHED_12_MONTH_PRICE_CHANGE_RESALE"      varchar(50),</v>
      </c>
    </row>
    <row r="172" spans="1:6">
      <c r="A172" t="s">
        <v>8</v>
      </c>
      <c r="B172" s="4" t="s">
        <v>468</v>
      </c>
      <c r="C172" t="s">
        <v>529</v>
      </c>
      <c r="D172" t="s">
        <v>307</v>
      </c>
      <c r="F172" t="str">
        <f t="shared" si="2"/>
        <v>"SFR_DETACHED_12_MONTH_PRICE_CHANGE_NEW_CONST"      varchar(50),</v>
      </c>
    </row>
    <row r="173" spans="1:6">
      <c r="A173" t="s">
        <v>8</v>
      </c>
      <c r="B173" s="4" t="s">
        <v>469</v>
      </c>
      <c r="C173" t="s">
        <v>529</v>
      </c>
      <c r="D173" t="s">
        <v>307</v>
      </c>
      <c r="F173" t="str">
        <f t="shared" si="2"/>
        <v>"SFR_DETACHED_OWNER_OCCUPIED_SALES"      varchar(50),</v>
      </c>
    </row>
    <row r="174" spans="1:6">
      <c r="A174" t="s">
        <v>8</v>
      </c>
      <c r="B174" s="4" t="s">
        <v>470</v>
      </c>
      <c r="C174" t="s">
        <v>529</v>
      </c>
      <c r="D174" t="s">
        <v>307</v>
      </c>
      <c r="F174" t="str">
        <f t="shared" si="2"/>
        <v>"SFR_DETACHED_NON_OWNER_OCCUPIED_SALES"      varchar(50),</v>
      </c>
    </row>
    <row r="175" spans="1:6">
      <c r="A175" t="s">
        <v>8</v>
      </c>
      <c r="B175" s="4" t="s">
        <v>471</v>
      </c>
      <c r="C175" t="s">
        <v>529</v>
      </c>
      <c r="D175" t="s">
        <v>307</v>
      </c>
      <c r="F175" t="str">
        <f t="shared" si="2"/>
        <v>"SFR_DETACHED_OWNER_OCCUPIED_AVG_SALES_PRICE"      varchar(50),</v>
      </c>
    </row>
    <row r="176" spans="1:6">
      <c r="A176" t="s">
        <v>8</v>
      </c>
      <c r="B176" s="4" t="s">
        <v>472</v>
      </c>
      <c r="C176" t="s">
        <v>529</v>
      </c>
      <c r="D176" t="s">
        <v>307</v>
      </c>
      <c r="F176" t="str">
        <f t="shared" si="2"/>
        <v>"SFR_DETACHED_NON_OWNER_OCCUPIED_AVG_SALES_PRICE"      varchar(50),</v>
      </c>
    </row>
    <row r="177" spans="1:6">
      <c r="A177" t="s">
        <v>8</v>
      </c>
      <c r="B177" s="4" t="s">
        <v>473</v>
      </c>
      <c r="C177" t="s">
        <v>529</v>
      </c>
      <c r="D177" t="s">
        <v>307</v>
      </c>
      <c r="F177" t="str">
        <f t="shared" si="2"/>
        <v>"SFR_DETACHED_OWNER_OCCUPIED_MED_SALES_PRICE"      varchar(50),</v>
      </c>
    </row>
    <row r="178" spans="1:6">
      <c r="A178" t="s">
        <v>8</v>
      </c>
      <c r="B178" s="4" t="s">
        <v>474</v>
      </c>
      <c r="C178" t="s">
        <v>529</v>
      </c>
      <c r="D178" t="s">
        <v>307</v>
      </c>
      <c r="F178" t="str">
        <f t="shared" si="2"/>
        <v>"SFR_DETACHED_NON_OWNER_OCCUPIED_MED_SALES_PRICE"      varchar(50),</v>
      </c>
    </row>
    <row r="179" spans="1:6">
      <c r="A179" t="s">
        <v>8</v>
      </c>
      <c r="B179" s="4" t="s">
        <v>475</v>
      </c>
      <c r="C179" t="s">
        <v>529</v>
      </c>
      <c r="D179" t="s">
        <v>307</v>
      </c>
      <c r="F179" t="str">
        <f t="shared" si="2"/>
        <v>"SFR_DETACHED_SALES_BY_PRICE_RANGE_Under $250K"      varchar(50),</v>
      </c>
    </row>
    <row r="180" spans="1:6">
      <c r="A180" t="s">
        <v>8</v>
      </c>
      <c r="B180" s="4" t="s">
        <v>476</v>
      </c>
      <c r="C180" t="s">
        <v>529</v>
      </c>
      <c r="D180" t="s">
        <v>307</v>
      </c>
      <c r="F180" t="str">
        <f t="shared" si="2"/>
        <v>"SFR_DETACHED_SALES_BY_PRICE_RANGE_$250K-$500K"      varchar(50),</v>
      </c>
    </row>
    <row r="181" spans="1:6">
      <c r="A181" t="s">
        <v>8</v>
      </c>
      <c r="B181" s="4" t="s">
        <v>477</v>
      </c>
      <c r="C181" t="s">
        <v>529</v>
      </c>
      <c r="D181" t="s">
        <v>307</v>
      </c>
      <c r="F181" t="str">
        <f t="shared" si="2"/>
        <v>"SFR_DETACHED_SALES_BY_PRICE_RANGE_$500K-$750K"      varchar(50),</v>
      </c>
    </row>
    <row r="182" spans="1:6">
      <c r="A182" t="s">
        <v>8</v>
      </c>
      <c r="B182" s="4" t="s">
        <v>478</v>
      </c>
      <c r="C182" t="s">
        <v>529</v>
      </c>
      <c r="D182" t="s">
        <v>307</v>
      </c>
      <c r="F182" t="str">
        <f t="shared" si="2"/>
        <v>"SFR_DETACHED_SALES_BY_PRICE_RANGE_$750K-$1M"      varchar(50),</v>
      </c>
    </row>
    <row r="183" spans="1:6">
      <c r="A183" t="s">
        <v>8</v>
      </c>
      <c r="B183" s="4" t="s">
        <v>479</v>
      </c>
      <c r="C183" t="s">
        <v>529</v>
      </c>
      <c r="D183" t="s">
        <v>307</v>
      </c>
      <c r="F183" t="str">
        <f t="shared" si="2"/>
        <v>"SFR_DETACHED_SALES_BY_PRICE_RANGE_$1M-$1.5M"      varchar(50),</v>
      </c>
    </row>
    <row r="184" spans="1:6">
      <c r="A184" t="s">
        <v>8</v>
      </c>
      <c r="B184" s="4" t="s">
        <v>480</v>
      </c>
      <c r="C184" t="s">
        <v>529</v>
      </c>
      <c r="D184" t="s">
        <v>307</v>
      </c>
      <c r="F184" t="str">
        <f t="shared" si="2"/>
        <v>"SFR_DETACHED_SALES_BY_PRICE_RANGE_$1.5M-$2.0M"      varchar(50),</v>
      </c>
    </row>
    <row r="185" spans="1:6">
      <c r="A185" t="s">
        <v>8</v>
      </c>
      <c r="B185" s="4" t="s">
        <v>481</v>
      </c>
      <c r="C185" t="s">
        <v>529</v>
      </c>
      <c r="D185" t="s">
        <v>307</v>
      </c>
      <c r="F185" t="str">
        <f t="shared" si="2"/>
        <v>"SFR_DETACHED_SALES_BY_PRICE_RANGE_$2M-$3M"      varchar(50),</v>
      </c>
    </row>
    <row r="186" spans="1:6">
      <c r="A186" t="s">
        <v>8</v>
      </c>
      <c r="B186" s="4" t="s">
        <v>482</v>
      </c>
      <c r="C186" t="s">
        <v>529</v>
      </c>
      <c r="D186" t="s">
        <v>307</v>
      </c>
      <c r="F186" t="str">
        <f t="shared" si="2"/>
        <v>"SFR_DETACHED_SALES_BY_PRICE_RANGE_$3M-$5M"      varchar(50),</v>
      </c>
    </row>
    <row r="187" spans="1:6">
      <c r="A187" t="s">
        <v>8</v>
      </c>
      <c r="B187" s="4" t="s">
        <v>483</v>
      </c>
      <c r="C187" t="s">
        <v>529</v>
      </c>
      <c r="D187" t="s">
        <v>307</v>
      </c>
      <c r="F187" t="str">
        <f t="shared" si="2"/>
        <v>"SFR_DETACHED_SALES_BY_PRICE_RANGE_Over $5M"      varchar(50),</v>
      </c>
    </row>
    <row r="188" spans="1:6">
      <c r="A188" t="s">
        <v>8</v>
      </c>
      <c r="B188" s="4" t="s">
        <v>484</v>
      </c>
      <c r="C188" t="s">
        <v>529</v>
      </c>
      <c r="D188" t="s">
        <v>307</v>
      </c>
      <c r="F188" t="str">
        <f t="shared" si="2"/>
        <v>"MULTI_FAMILY_TOTAL_SALES"      varchar(50),</v>
      </c>
    </row>
    <row r="189" spans="1:6">
      <c r="A189" t="s">
        <v>8</v>
      </c>
      <c r="B189" s="4" t="s">
        <v>485</v>
      </c>
      <c r="C189" t="s">
        <v>529</v>
      </c>
      <c r="D189" t="s">
        <v>307</v>
      </c>
      <c r="F189" t="str">
        <f t="shared" si="2"/>
        <v>"MULTI_FAMILY_TOTAL_SALES_RESALE"      varchar(50),</v>
      </c>
    </row>
    <row r="190" spans="1:6">
      <c r="A190" t="s">
        <v>8</v>
      </c>
      <c r="B190" s="4" t="s">
        <v>486</v>
      </c>
      <c r="C190" t="s">
        <v>529</v>
      </c>
      <c r="D190" t="s">
        <v>307</v>
      </c>
      <c r="F190" t="str">
        <f t="shared" si="2"/>
        <v>"MULTI_FAMILY_TOTAL_SALES_NEW_CONST"      varchar(50),</v>
      </c>
    </row>
    <row r="191" spans="1:6">
      <c r="A191" t="s">
        <v>8</v>
      </c>
      <c r="B191" s="4" t="s">
        <v>487</v>
      </c>
      <c r="C191" t="s">
        <v>529</v>
      </c>
      <c r="D191" t="s">
        <v>307</v>
      </c>
      <c r="F191" t="str">
        <f t="shared" si="2"/>
        <v>"MULTI_FAMILY_AVG_SALES_PRICE"      varchar(50),</v>
      </c>
    </row>
    <row r="192" spans="1:6">
      <c r="A192" t="s">
        <v>8</v>
      </c>
      <c r="B192" s="4" t="s">
        <v>488</v>
      </c>
      <c r="C192" t="s">
        <v>529</v>
      </c>
      <c r="D192" t="s">
        <v>307</v>
      </c>
      <c r="F192" t="str">
        <f t="shared" si="2"/>
        <v>"MULTI_FAMILY_AVG_SALES_PRICE_RESALE"      varchar(50),</v>
      </c>
    </row>
    <row r="193" spans="1:6">
      <c r="A193" t="s">
        <v>8</v>
      </c>
      <c r="B193" s="4" t="s">
        <v>489</v>
      </c>
      <c r="C193" t="s">
        <v>529</v>
      </c>
      <c r="D193" t="s">
        <v>307</v>
      </c>
      <c r="F193" t="str">
        <f t="shared" si="2"/>
        <v>"MULTI_FAMILY_AVG_SALES_PRICE_NEW_CONST"      varchar(50),</v>
      </c>
    </row>
    <row r="194" spans="1:6">
      <c r="A194" t="s">
        <v>8</v>
      </c>
      <c r="B194" s="4" t="s">
        <v>490</v>
      </c>
      <c r="C194" t="s">
        <v>529</v>
      </c>
      <c r="D194" t="s">
        <v>307</v>
      </c>
      <c r="F194" t="str">
        <f t="shared" ref="F194:F232" si="3">_xlfn.CONCAT(A194:D194)</f>
        <v>"MULTI_FAMILY_MED_SALES_PRICE"      varchar(50),</v>
      </c>
    </row>
    <row r="195" spans="1:6">
      <c r="A195" t="s">
        <v>8</v>
      </c>
      <c r="B195" s="4" t="s">
        <v>491</v>
      </c>
      <c r="C195" t="s">
        <v>529</v>
      </c>
      <c r="D195" t="s">
        <v>307</v>
      </c>
      <c r="F195" t="str">
        <f t="shared" si="3"/>
        <v>"MULTI_FAMILY_MED_SALES_PRICE_RESALE"      varchar(50),</v>
      </c>
    </row>
    <row r="196" spans="1:6">
      <c r="A196" t="s">
        <v>8</v>
      </c>
      <c r="B196" s="4" t="s">
        <v>492</v>
      </c>
      <c r="C196" t="s">
        <v>529</v>
      </c>
      <c r="D196" t="s">
        <v>307</v>
      </c>
      <c r="F196" t="str">
        <f t="shared" si="3"/>
        <v>"MULTI_FAMILY_MED_SALES_PRICE_NEW_CONST"      varchar(50),</v>
      </c>
    </row>
    <row r="197" spans="1:6">
      <c r="A197" t="s">
        <v>8</v>
      </c>
      <c r="B197" s="4" t="s">
        <v>493</v>
      </c>
      <c r="C197" t="s">
        <v>529</v>
      </c>
      <c r="D197" t="s">
        <v>307</v>
      </c>
      <c r="F197" t="str">
        <f t="shared" si="3"/>
        <v>"MULTI_FAMILY_UPPER_QUARTILE_SALES_PRICE"      varchar(50),</v>
      </c>
    </row>
    <row r="198" spans="1:6">
      <c r="A198" t="s">
        <v>8</v>
      </c>
      <c r="B198" s="4" t="s">
        <v>494</v>
      </c>
      <c r="C198" t="s">
        <v>529</v>
      </c>
      <c r="D198" t="s">
        <v>307</v>
      </c>
      <c r="F198" t="str">
        <f t="shared" si="3"/>
        <v>"MULTI_FAMILY_UPPER_QUARTILE_SALES_PRICE_RESALE"      varchar(50),</v>
      </c>
    </row>
    <row r="199" spans="1:6">
      <c r="A199" t="s">
        <v>8</v>
      </c>
      <c r="B199" s="4" t="s">
        <v>495</v>
      </c>
      <c r="C199" t="s">
        <v>529</v>
      </c>
      <c r="D199" t="s">
        <v>307</v>
      </c>
      <c r="F199" t="str">
        <f t="shared" si="3"/>
        <v>"MULTI_FAMILY_UPPER_QUARTILE_SALES_PRICE_NEW_CONST"      varchar(50),</v>
      </c>
    </row>
    <row r="200" spans="1:6">
      <c r="A200" t="s">
        <v>8</v>
      </c>
      <c r="B200" s="4" t="s">
        <v>496</v>
      </c>
      <c r="C200" t="s">
        <v>529</v>
      </c>
      <c r="D200" t="s">
        <v>307</v>
      </c>
      <c r="F200" t="str">
        <f t="shared" si="3"/>
        <v>"MULTI_FAMILY_LOWER_QUARTILE_SALES_PRICE"      varchar(50),</v>
      </c>
    </row>
    <row r="201" spans="1:6">
      <c r="A201" t="s">
        <v>8</v>
      </c>
      <c r="B201" s="4" t="s">
        <v>497</v>
      </c>
      <c r="C201" t="s">
        <v>529</v>
      </c>
      <c r="D201" t="s">
        <v>307</v>
      </c>
      <c r="F201" t="str">
        <f t="shared" si="3"/>
        <v>"MULTI_FAMILY_LOWER_QUARTILE_SALES_PRICE_RESALE"      varchar(50),</v>
      </c>
    </row>
    <row r="202" spans="1:6">
      <c r="A202" t="s">
        <v>8</v>
      </c>
      <c r="B202" s="4" t="s">
        <v>498</v>
      </c>
      <c r="C202" t="s">
        <v>529</v>
      </c>
      <c r="D202" t="s">
        <v>307</v>
      </c>
      <c r="F202" t="str">
        <f t="shared" si="3"/>
        <v>"MULTI_FAMILY_LOWER_QUARTILE_SALES_PRICE_NEW_CONST"      varchar(50),</v>
      </c>
    </row>
    <row r="203" spans="1:6">
      <c r="A203" t="s">
        <v>8</v>
      </c>
      <c r="B203" s="4" t="s">
        <v>499</v>
      </c>
      <c r="C203" t="s">
        <v>529</v>
      </c>
      <c r="D203" t="s">
        <v>307</v>
      </c>
      <c r="F203" t="str">
        <f t="shared" si="3"/>
        <v>"MULTI_FAMILY_AVG_SQFT"      varchar(50),</v>
      </c>
    </row>
    <row r="204" spans="1:6">
      <c r="A204" t="s">
        <v>8</v>
      </c>
      <c r="B204" s="4" t="s">
        <v>500</v>
      </c>
      <c r="C204" t="s">
        <v>529</v>
      </c>
      <c r="D204" t="s">
        <v>307</v>
      </c>
      <c r="F204" t="str">
        <f t="shared" si="3"/>
        <v>"MULTI_FAMILY_AVG_SQFT_RESALE"      varchar(50),</v>
      </c>
    </row>
    <row r="205" spans="1:6">
      <c r="A205" t="s">
        <v>8</v>
      </c>
      <c r="B205" s="4" t="s">
        <v>501</v>
      </c>
      <c r="C205" t="s">
        <v>529</v>
      </c>
      <c r="D205" t="s">
        <v>307</v>
      </c>
      <c r="F205" t="str">
        <f t="shared" si="3"/>
        <v>"MULTI_FAMILY_AVG_SQFT_NEW_CONST"      varchar(50),</v>
      </c>
    </row>
    <row r="206" spans="1:6">
      <c r="A206" t="s">
        <v>8</v>
      </c>
      <c r="B206" s="4" t="s">
        <v>502</v>
      </c>
      <c r="C206" t="s">
        <v>529</v>
      </c>
      <c r="D206" t="s">
        <v>307</v>
      </c>
      <c r="F206" t="str">
        <f t="shared" si="3"/>
        <v>"MULTI_FAMILY_AVG_DOLLAR_PER_SQFT"      varchar(50),</v>
      </c>
    </row>
    <row r="207" spans="1:6">
      <c r="A207" t="s">
        <v>8</v>
      </c>
      <c r="B207" s="4" t="s">
        <v>503</v>
      </c>
      <c r="C207" t="s">
        <v>529</v>
      </c>
      <c r="D207" t="s">
        <v>307</v>
      </c>
      <c r="F207" t="str">
        <f t="shared" si="3"/>
        <v>"MULTI_FAMILY_AVG_DOLLAR_PER_SQFT_RESALE"      varchar(50),</v>
      </c>
    </row>
    <row r="208" spans="1:6">
      <c r="A208" t="s">
        <v>8</v>
      </c>
      <c r="B208" s="4" t="s">
        <v>504</v>
      </c>
      <c r="C208" t="s">
        <v>529</v>
      </c>
      <c r="D208" t="s">
        <v>307</v>
      </c>
      <c r="F208" t="str">
        <f t="shared" si="3"/>
        <v>"MULTI_FAMILY_AVG_DOLLAR_PER_SQFT_NEW_CONST"      varchar(50),</v>
      </c>
    </row>
    <row r="209" spans="1:6">
      <c r="A209" t="s">
        <v>8</v>
      </c>
      <c r="B209" s="4" t="s">
        <v>505</v>
      </c>
      <c r="C209" t="s">
        <v>529</v>
      </c>
      <c r="D209" t="s">
        <v>307</v>
      </c>
      <c r="F209" t="str">
        <f t="shared" si="3"/>
        <v>"MULTI_FAMILY_MED_SQFT"      varchar(50),</v>
      </c>
    </row>
    <row r="210" spans="1:6">
      <c r="A210" t="s">
        <v>8</v>
      </c>
      <c r="B210" s="4" t="s">
        <v>506</v>
      </c>
      <c r="C210" t="s">
        <v>529</v>
      </c>
      <c r="D210" t="s">
        <v>307</v>
      </c>
      <c r="F210" t="str">
        <f t="shared" si="3"/>
        <v>"MULTI_FAMILY_MED_SQFT_RESALE"      varchar(50),</v>
      </c>
    </row>
    <row r="211" spans="1:6">
      <c r="A211" t="s">
        <v>8</v>
      </c>
      <c r="B211" s="4" t="s">
        <v>507</v>
      </c>
      <c r="C211" t="s">
        <v>529</v>
      </c>
      <c r="D211" t="s">
        <v>307</v>
      </c>
      <c r="F211" t="str">
        <f t="shared" si="3"/>
        <v>"MULTI_FAMILY_MED_SQFT_NEW_CONST"      varchar(50),</v>
      </c>
    </row>
    <row r="212" spans="1:6">
      <c r="A212" t="s">
        <v>8</v>
      </c>
      <c r="B212" s="4" t="s">
        <v>508</v>
      </c>
      <c r="C212" t="s">
        <v>529</v>
      </c>
      <c r="D212" t="s">
        <v>307</v>
      </c>
      <c r="F212" t="str">
        <f t="shared" si="3"/>
        <v>"MULTI_FAMILY_MED_DOLLAR_PER_SQFT"      varchar(50),</v>
      </c>
    </row>
    <row r="213" spans="1:6">
      <c r="A213" t="s">
        <v>8</v>
      </c>
      <c r="B213" s="4" t="s">
        <v>509</v>
      </c>
      <c r="C213" t="s">
        <v>529</v>
      </c>
      <c r="D213" t="s">
        <v>307</v>
      </c>
      <c r="F213" t="str">
        <f t="shared" si="3"/>
        <v>"MULTI_FAMILY_MED_DOLLAR_PER_SQFT_RESALE"      varchar(50),</v>
      </c>
    </row>
    <row r="214" spans="1:6">
      <c r="A214" t="s">
        <v>8</v>
      </c>
      <c r="B214" s="4" t="s">
        <v>510</v>
      </c>
      <c r="C214" t="s">
        <v>529</v>
      </c>
      <c r="D214" t="s">
        <v>307</v>
      </c>
      <c r="F214" t="str">
        <f t="shared" si="3"/>
        <v>"MULTI_FAMILY_MED_DOLLAR_PER_SQFT_NEW_CONST"      varchar(50),</v>
      </c>
    </row>
    <row r="215" spans="1:6">
      <c r="A215" t="s">
        <v>8</v>
      </c>
      <c r="B215" s="4" t="s">
        <v>511</v>
      </c>
      <c r="C215" t="s">
        <v>529</v>
      </c>
      <c r="D215" t="s">
        <v>307</v>
      </c>
      <c r="F215" t="str">
        <f t="shared" si="3"/>
        <v>"MULTI_FAMILY_12_MONTH_PRICE_CHANGE"      varchar(50),</v>
      </c>
    </row>
    <row r="216" spans="1:6">
      <c r="A216" t="s">
        <v>8</v>
      </c>
      <c r="B216" s="4" t="s">
        <v>512</v>
      </c>
      <c r="C216" t="s">
        <v>529</v>
      </c>
      <c r="D216" t="s">
        <v>307</v>
      </c>
      <c r="F216" t="str">
        <f t="shared" si="3"/>
        <v>"MULTI_FAMILY_12_MONTH_PRICE_CHANGE_RESALE"      varchar(50),</v>
      </c>
    </row>
    <row r="217" spans="1:6">
      <c r="A217" t="s">
        <v>8</v>
      </c>
      <c r="B217" s="4" t="s">
        <v>513</v>
      </c>
      <c r="C217" t="s">
        <v>529</v>
      </c>
      <c r="D217" t="s">
        <v>307</v>
      </c>
      <c r="F217" t="str">
        <f t="shared" si="3"/>
        <v>"MULTI_FAMILY_12_MONTH_PRICE_CHANGE_NEW_CONST"      varchar(50),</v>
      </c>
    </row>
    <row r="218" spans="1:6">
      <c r="A218" t="s">
        <v>8</v>
      </c>
      <c r="B218" s="4" t="s">
        <v>514</v>
      </c>
      <c r="C218" t="s">
        <v>529</v>
      </c>
      <c r="D218" t="s">
        <v>307</v>
      </c>
      <c r="F218" t="str">
        <f t="shared" si="3"/>
        <v>"MULTI_FAMILY_OWNER_OCCUPIED_SALES"      varchar(50),</v>
      </c>
    </row>
    <row r="219" spans="1:6">
      <c r="A219" t="s">
        <v>8</v>
      </c>
      <c r="B219" s="4" t="s">
        <v>515</v>
      </c>
      <c r="C219" t="s">
        <v>529</v>
      </c>
      <c r="D219" t="s">
        <v>307</v>
      </c>
      <c r="F219" t="str">
        <f t="shared" si="3"/>
        <v>"MULTI_FAMILY_NON_OWNER_OCCUPIED_SALES"      varchar(50),</v>
      </c>
    </row>
    <row r="220" spans="1:6">
      <c r="A220" t="s">
        <v>8</v>
      </c>
      <c r="B220" s="4" t="s">
        <v>516</v>
      </c>
      <c r="C220" t="s">
        <v>529</v>
      </c>
      <c r="D220" t="s">
        <v>307</v>
      </c>
      <c r="F220" t="str">
        <f t="shared" si="3"/>
        <v>"MULTI_FAMILY_OWNER_OCCUPIED_AVG_SALES_PRICE"      varchar(50),</v>
      </c>
    </row>
    <row r="221" spans="1:6">
      <c r="A221" t="s">
        <v>8</v>
      </c>
      <c r="B221" s="4" t="s">
        <v>517</v>
      </c>
      <c r="C221" t="s">
        <v>529</v>
      </c>
      <c r="D221" t="s">
        <v>307</v>
      </c>
      <c r="F221" t="str">
        <f t="shared" si="3"/>
        <v>"MULTI_FAMILY_NON_OWNER_OCCUPIED_AVG_SALES_PRICE"      varchar(50),</v>
      </c>
    </row>
    <row r="222" spans="1:6">
      <c r="A222" t="s">
        <v>8</v>
      </c>
      <c r="B222" s="4" t="s">
        <v>518</v>
      </c>
      <c r="C222" t="s">
        <v>529</v>
      </c>
      <c r="D222" t="s">
        <v>307</v>
      </c>
      <c r="F222" t="str">
        <f t="shared" si="3"/>
        <v>"MULTI_FAMILY_OWNER_OCCUPIED_MED_SALES_PRICE"      varchar(50),</v>
      </c>
    </row>
    <row r="223" spans="1:6">
      <c r="A223" t="s">
        <v>8</v>
      </c>
      <c r="B223" s="4" t="s">
        <v>519</v>
      </c>
      <c r="C223" t="s">
        <v>529</v>
      </c>
      <c r="D223" t="s">
        <v>307</v>
      </c>
      <c r="F223" t="str">
        <f t="shared" si="3"/>
        <v>"MULTI_FAMILY_NON_OWNER_OCCUPIED_MED_SALES_PRICE"      varchar(50),</v>
      </c>
    </row>
    <row r="224" spans="1:6">
      <c r="A224" t="s">
        <v>8</v>
      </c>
      <c r="B224" s="4" t="s">
        <v>520</v>
      </c>
      <c r="C224" t="s">
        <v>529</v>
      </c>
      <c r="D224" t="s">
        <v>307</v>
      </c>
      <c r="F224" t="str">
        <f t="shared" si="3"/>
        <v>"MULTI_FAMILY_SALES_BY_PRICE_RANGE_Under $250K"      varchar(50),</v>
      </c>
    </row>
    <row r="225" spans="1:6">
      <c r="A225" t="s">
        <v>8</v>
      </c>
      <c r="B225" s="4" t="s">
        <v>521</v>
      </c>
      <c r="C225" t="s">
        <v>529</v>
      </c>
      <c r="D225" t="s">
        <v>307</v>
      </c>
      <c r="F225" t="str">
        <f t="shared" si="3"/>
        <v>"MULTI_FAMILY_SALES_BY_PRICE_RANGE_$250K-$500K"      varchar(50),</v>
      </c>
    </row>
    <row r="226" spans="1:6">
      <c r="A226" t="s">
        <v>8</v>
      </c>
      <c r="B226" s="4" t="s">
        <v>522</v>
      </c>
      <c r="C226" t="s">
        <v>529</v>
      </c>
      <c r="D226" t="s">
        <v>307</v>
      </c>
      <c r="F226" t="str">
        <f t="shared" si="3"/>
        <v>"MULTI_FAMILY_SALES_BY_PRICE_RANGE_$500K-$750K"      varchar(50),</v>
      </c>
    </row>
    <row r="227" spans="1:6">
      <c r="A227" t="s">
        <v>8</v>
      </c>
      <c r="B227" s="4" t="s">
        <v>523</v>
      </c>
      <c r="C227" t="s">
        <v>529</v>
      </c>
      <c r="D227" t="s">
        <v>307</v>
      </c>
      <c r="F227" t="str">
        <f t="shared" si="3"/>
        <v>"MULTI_FAMILY_SALES_BY_PRICE_RANGE_$750K-$1M"      varchar(50),</v>
      </c>
    </row>
    <row r="228" spans="1:6">
      <c r="A228" t="s">
        <v>8</v>
      </c>
      <c r="B228" s="4" t="s">
        <v>524</v>
      </c>
      <c r="C228" t="s">
        <v>529</v>
      </c>
      <c r="D228" t="s">
        <v>307</v>
      </c>
      <c r="F228" t="str">
        <f t="shared" si="3"/>
        <v>"MULTI_FAMILY_SALES_BY_PRICE_RANGE_$1M-$1.5M"      varchar(50),</v>
      </c>
    </row>
    <row r="229" spans="1:6">
      <c r="A229" t="s">
        <v>8</v>
      </c>
      <c r="B229" s="4" t="s">
        <v>525</v>
      </c>
      <c r="C229" t="s">
        <v>529</v>
      </c>
      <c r="D229" t="s">
        <v>307</v>
      </c>
      <c r="F229" t="str">
        <f t="shared" si="3"/>
        <v>"MULTI_FAMILY_SALES_BY_PRICE_RANGE_$1.5M-$2.0M"      varchar(50),</v>
      </c>
    </row>
    <row r="230" spans="1:6">
      <c r="A230" t="s">
        <v>8</v>
      </c>
      <c r="B230" s="4" t="s">
        <v>526</v>
      </c>
      <c r="C230" t="s">
        <v>529</v>
      </c>
      <c r="D230" t="s">
        <v>307</v>
      </c>
      <c r="F230" t="str">
        <f t="shared" si="3"/>
        <v>"MULTI_FAMILY_SALES_BY_PRICE_RANGE_$2M-$3M"      varchar(50),</v>
      </c>
    </row>
    <row r="231" spans="1:6">
      <c r="A231" t="s">
        <v>8</v>
      </c>
      <c r="B231" s="4" t="s">
        <v>527</v>
      </c>
      <c r="C231" t="s">
        <v>529</v>
      </c>
      <c r="D231" t="s">
        <v>307</v>
      </c>
      <c r="F231" t="str">
        <f t="shared" si="3"/>
        <v>"MULTI_FAMILY_SALES_BY_PRICE_RANGE_$3M-$5M"      varchar(50),</v>
      </c>
    </row>
    <row r="232" spans="1:6">
      <c r="A232" t="s">
        <v>8</v>
      </c>
      <c r="B232" s="4" t="s">
        <v>528</v>
      </c>
      <c r="C232" t="s">
        <v>529</v>
      </c>
      <c r="D232" t="s">
        <v>1</v>
      </c>
      <c r="F232" t="str">
        <f t="shared" si="3"/>
        <v>"MULTI_FAMILY_SALES_BY_PRICE_RANGE_Over $5M"      varchar(50)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EE4A-088D-431C-BD57-58004CAA38D8}">
  <dimension ref="B1:J233"/>
  <sheetViews>
    <sheetView workbookViewId="0">
      <selection activeCell="J2" sqref="J2"/>
    </sheetView>
  </sheetViews>
  <sheetFormatPr defaultRowHeight="15"/>
  <cols>
    <col min="2" max="2" width="9.42578125" customWidth="1"/>
    <col min="3" max="3" width="55.5703125" bestFit="1" customWidth="1"/>
    <col min="4" max="4" width="17.28515625" bestFit="1" customWidth="1"/>
    <col min="5" max="5" width="17.28515625" customWidth="1"/>
    <col min="6" max="6" width="11.140625" bestFit="1" customWidth="1"/>
    <col min="7" max="7" width="11.140625" customWidth="1"/>
    <col min="8" max="8" width="6" bestFit="1" customWidth="1"/>
  </cols>
  <sheetData>
    <row r="1" spans="2:10">
      <c r="B1" t="s">
        <v>67</v>
      </c>
    </row>
    <row r="2" spans="2:10">
      <c r="B2" s="1" t="s">
        <v>68</v>
      </c>
      <c r="C2" t="s">
        <v>69</v>
      </c>
      <c r="D2" s="2" t="s">
        <v>301</v>
      </c>
      <c r="E2" t="str">
        <f>C2</f>
        <v>[LOCATION_AGGREGATE]</v>
      </c>
      <c r="F2" s="2" t="s">
        <v>302</v>
      </c>
      <c r="J2" s="3" t="str">
        <f>B2&amp;C2&amp;D2&amp;E2&amp;F2&amp;G2&amp;H2</f>
        <v>UPDATE dbo.NationWideHomeSalesReport_FullHist  SET [LOCATION_AGGREGATE] = REPLACE([LOCATION_AGGREGATE], ',', '');</v>
      </c>
    </row>
    <row r="3" spans="2:10">
      <c r="B3" s="1" t="s">
        <v>68</v>
      </c>
      <c r="C3" t="s">
        <v>70</v>
      </c>
      <c r="D3" s="2" t="s">
        <v>301</v>
      </c>
      <c r="E3" t="str">
        <f t="shared" ref="E3:E66" si="0">C3</f>
        <v>[LOCATION_CODE]</v>
      </c>
      <c r="F3" s="2" t="s">
        <v>302</v>
      </c>
      <c r="J3" s="3" t="str">
        <f t="shared" ref="J3:J66" si="1">B3&amp;C3&amp;D3&amp;E3&amp;F3&amp;G3&amp;H3</f>
        <v>UPDATE dbo.NationWideHomeSalesReport_FullHist  SET [LOCATION_CODE] = REPLACE([LOCATION_CODE], ',', '');</v>
      </c>
    </row>
    <row r="4" spans="2:10">
      <c r="B4" s="1" t="s">
        <v>68</v>
      </c>
      <c r="C4" t="s">
        <v>71</v>
      </c>
      <c r="D4" s="2" t="s">
        <v>301</v>
      </c>
      <c r="E4" t="str">
        <f t="shared" si="0"/>
        <v>[TIME_PERIOD]</v>
      </c>
      <c r="F4" s="2" t="s">
        <v>302</v>
      </c>
      <c r="J4" s="3" t="str">
        <f t="shared" si="1"/>
        <v>UPDATE dbo.NationWideHomeSalesReport_FullHist  SET [TIME_PERIOD] = REPLACE([TIME_PERIOD], ',', '');</v>
      </c>
    </row>
    <row r="5" spans="2:10">
      <c r="B5" s="1" t="s">
        <v>68</v>
      </c>
      <c r="C5" t="s">
        <v>72</v>
      </c>
      <c r="D5" s="2" t="s">
        <v>301</v>
      </c>
      <c r="E5" t="str">
        <f t="shared" si="0"/>
        <v>[LOCATION_CITY]</v>
      </c>
      <c r="F5" s="2" t="s">
        <v>302</v>
      </c>
      <c r="J5" s="3" t="str">
        <f t="shared" si="1"/>
        <v>UPDATE dbo.NationWideHomeSalesReport_FullHist  SET [LOCATION_CITY] = REPLACE([LOCATION_CITY], ',', '');</v>
      </c>
    </row>
    <row r="6" spans="2:10">
      <c r="B6" s="1" t="s">
        <v>68</v>
      </c>
      <c r="C6" t="s">
        <v>73</v>
      </c>
      <c r="D6" s="2" t="s">
        <v>301</v>
      </c>
      <c r="E6" t="str">
        <f t="shared" si="0"/>
        <v>[LOCATION_COUNTY]</v>
      </c>
      <c r="F6" s="2" t="s">
        <v>302</v>
      </c>
      <c r="J6" s="3" t="str">
        <f t="shared" si="1"/>
        <v>UPDATE dbo.NationWideHomeSalesReport_FullHist  SET [LOCATION_COUNTY] = REPLACE([LOCATION_COUNTY], ',', '');</v>
      </c>
    </row>
    <row r="7" spans="2:10">
      <c r="B7" s="1" t="s">
        <v>68</v>
      </c>
      <c r="C7" t="s">
        <v>74</v>
      </c>
      <c r="D7" s="2" t="s">
        <v>301</v>
      </c>
      <c r="E7" t="str">
        <f t="shared" si="0"/>
        <v>[LOCATION_CBSA]</v>
      </c>
      <c r="F7" s="2" t="s">
        <v>302</v>
      </c>
      <c r="J7" t="str">
        <f t="shared" si="1"/>
        <v>UPDATE dbo.NationWideHomeSalesReport_FullHist  SET [LOCATION_CBSA] = REPLACE([LOCATION_CBSA], ',', '');</v>
      </c>
    </row>
    <row r="8" spans="2:10">
      <c r="B8" s="1" t="s">
        <v>68</v>
      </c>
      <c r="C8" t="s">
        <v>75</v>
      </c>
      <c r="D8" s="2" t="s">
        <v>301</v>
      </c>
      <c r="E8" t="str">
        <f t="shared" si="0"/>
        <v>[LOCATION_STATE]</v>
      </c>
      <c r="F8" s="2" t="s">
        <v>302</v>
      </c>
      <c r="J8" t="str">
        <f t="shared" si="1"/>
        <v>UPDATE dbo.NationWideHomeSalesReport_FullHist  SET [LOCATION_STATE] = REPLACE([LOCATION_STATE], ',', '');</v>
      </c>
    </row>
    <row r="9" spans="2:10">
      <c r="B9" s="1" t="s">
        <v>68</v>
      </c>
      <c r="C9" t="s">
        <v>76</v>
      </c>
      <c r="D9" s="2" t="s">
        <v>301</v>
      </c>
      <c r="E9" t="str">
        <f t="shared" si="0"/>
        <v>[TOTAL_SALES]</v>
      </c>
      <c r="F9" s="2" t="s">
        <v>302</v>
      </c>
      <c r="J9" t="str">
        <f t="shared" si="1"/>
        <v>UPDATE dbo.NationWideHomeSalesReport_FullHist  SET [TOTAL_SALES] = REPLACE([TOTAL_SALES], ',', '');</v>
      </c>
    </row>
    <row r="10" spans="2:10">
      <c r="B10" s="1" t="s">
        <v>68</v>
      </c>
      <c r="C10" t="s">
        <v>77</v>
      </c>
      <c r="D10" s="2" t="s">
        <v>301</v>
      </c>
      <c r="E10" t="str">
        <f t="shared" si="0"/>
        <v>[TOTAL_SALES_RESALE]</v>
      </c>
      <c r="F10" s="2" t="s">
        <v>302</v>
      </c>
      <c r="J10" t="str">
        <f t="shared" si="1"/>
        <v>UPDATE dbo.NationWideHomeSalesReport_FullHist  SET [TOTAL_SALES_RESALE] = REPLACE([TOTAL_SALES_RESALE], ',', '');</v>
      </c>
    </row>
    <row r="11" spans="2:10">
      <c r="B11" s="1" t="s">
        <v>68</v>
      </c>
      <c r="C11" t="s">
        <v>78</v>
      </c>
      <c r="D11" s="2" t="s">
        <v>301</v>
      </c>
      <c r="E11" t="str">
        <f t="shared" si="0"/>
        <v>[TOTAL_SALES_NEW_CONST]</v>
      </c>
      <c r="F11" s="2" t="s">
        <v>302</v>
      </c>
      <c r="J11" t="str">
        <f t="shared" si="1"/>
        <v>UPDATE dbo.NationWideHomeSalesReport_FullHist  SET [TOTAL_SALES_NEW_CONST] = REPLACE([TOTAL_SALES_NEW_CONST], ',', '');</v>
      </c>
    </row>
    <row r="12" spans="2:10">
      <c r="B12" s="1" t="s">
        <v>68</v>
      </c>
      <c r="C12" t="s">
        <v>79</v>
      </c>
      <c r="D12" s="2" t="s">
        <v>301</v>
      </c>
      <c r="E12" t="str">
        <f t="shared" si="0"/>
        <v>[TOTAL_AVG_SALES_PRICE]</v>
      </c>
      <c r="F12" s="2" t="s">
        <v>302</v>
      </c>
      <c r="J12" t="str">
        <f t="shared" si="1"/>
        <v>UPDATE dbo.NationWideHomeSalesReport_FullHist  SET [TOTAL_AVG_SALES_PRICE] = REPLACE([TOTAL_AVG_SALES_PRICE], ',', '');</v>
      </c>
    </row>
    <row r="13" spans="2:10">
      <c r="B13" s="1" t="s">
        <v>68</v>
      </c>
      <c r="C13" t="s">
        <v>80</v>
      </c>
      <c r="D13" s="2" t="s">
        <v>301</v>
      </c>
      <c r="E13" t="str">
        <f t="shared" si="0"/>
        <v>[TOTAL_AVG_SALES_PRICE_RESALE]</v>
      </c>
      <c r="F13" s="2" t="s">
        <v>302</v>
      </c>
      <c r="J13" t="str">
        <f t="shared" si="1"/>
        <v>UPDATE dbo.NationWideHomeSalesReport_FullHist  SET [TOTAL_AVG_SALES_PRICE_RESALE] = REPLACE([TOTAL_AVG_SALES_PRICE_RESALE], ',', '');</v>
      </c>
    </row>
    <row r="14" spans="2:10">
      <c r="B14" s="1" t="s">
        <v>68</v>
      </c>
      <c r="C14" t="s">
        <v>81</v>
      </c>
      <c r="D14" s="2" t="s">
        <v>301</v>
      </c>
      <c r="E14" t="str">
        <f t="shared" si="0"/>
        <v>[TOTAL_AVG_SALES_PRICE_NEW_CONST]</v>
      </c>
      <c r="F14" s="2" t="s">
        <v>302</v>
      </c>
      <c r="J14" t="str">
        <f t="shared" si="1"/>
        <v>UPDATE dbo.NationWideHomeSalesReport_FullHist  SET [TOTAL_AVG_SALES_PRICE_NEW_CONST] = REPLACE([TOTAL_AVG_SALES_PRICE_NEW_CONST], ',', '');</v>
      </c>
    </row>
    <row r="15" spans="2:10">
      <c r="B15" s="1" t="s">
        <v>68</v>
      </c>
      <c r="C15" t="s">
        <v>82</v>
      </c>
      <c r="D15" s="2" t="s">
        <v>301</v>
      </c>
      <c r="E15" t="str">
        <f t="shared" si="0"/>
        <v>[TOTAL_MED_SALES_PRICE]</v>
      </c>
      <c r="F15" s="2" t="s">
        <v>302</v>
      </c>
      <c r="J15" t="str">
        <f t="shared" si="1"/>
        <v>UPDATE dbo.NationWideHomeSalesReport_FullHist  SET [TOTAL_MED_SALES_PRICE] = REPLACE([TOTAL_MED_SALES_PRICE], ',', '');</v>
      </c>
    </row>
    <row r="16" spans="2:10">
      <c r="B16" s="1" t="s">
        <v>68</v>
      </c>
      <c r="C16" t="s">
        <v>83</v>
      </c>
      <c r="D16" s="2" t="s">
        <v>301</v>
      </c>
      <c r="E16" t="str">
        <f t="shared" si="0"/>
        <v>[TOTAL_MED_SALES_PRICE_RESALE]</v>
      </c>
      <c r="F16" s="2" t="s">
        <v>302</v>
      </c>
      <c r="J16" t="str">
        <f t="shared" si="1"/>
        <v>UPDATE dbo.NationWideHomeSalesReport_FullHist  SET [TOTAL_MED_SALES_PRICE_RESALE] = REPLACE([TOTAL_MED_SALES_PRICE_RESALE], ',', '');</v>
      </c>
    </row>
    <row r="17" spans="2:10">
      <c r="B17" s="1" t="s">
        <v>68</v>
      </c>
      <c r="C17" t="s">
        <v>84</v>
      </c>
      <c r="D17" s="2" t="s">
        <v>301</v>
      </c>
      <c r="E17" t="str">
        <f t="shared" si="0"/>
        <v>[TOTAL_MED_SALES_PRICE_NEW_CONST]</v>
      </c>
      <c r="F17" s="2" t="s">
        <v>302</v>
      </c>
      <c r="J17" t="str">
        <f t="shared" si="1"/>
        <v>UPDATE dbo.NationWideHomeSalesReport_FullHist  SET [TOTAL_MED_SALES_PRICE_NEW_CONST] = REPLACE([TOTAL_MED_SALES_PRICE_NEW_CONST], ',', '');</v>
      </c>
    </row>
    <row r="18" spans="2:10">
      <c r="B18" s="1" t="s">
        <v>68</v>
      </c>
      <c r="C18" t="s">
        <v>85</v>
      </c>
      <c r="D18" s="2" t="s">
        <v>301</v>
      </c>
      <c r="E18" t="str">
        <f t="shared" si="0"/>
        <v>[TOTAL_UPPER_QUARTILE_SALES_PRICE]</v>
      </c>
      <c r="F18" s="2" t="s">
        <v>302</v>
      </c>
      <c r="J18" t="str">
        <f t="shared" si="1"/>
        <v>UPDATE dbo.NationWideHomeSalesReport_FullHist  SET [TOTAL_UPPER_QUARTILE_SALES_PRICE] = REPLACE([TOTAL_UPPER_QUARTILE_SALES_PRICE], ',', '');</v>
      </c>
    </row>
    <row r="19" spans="2:10">
      <c r="B19" s="1" t="s">
        <v>68</v>
      </c>
      <c r="C19" t="s">
        <v>86</v>
      </c>
      <c r="D19" s="2" t="s">
        <v>301</v>
      </c>
      <c r="E19" t="str">
        <f t="shared" si="0"/>
        <v>[TOTAL_UPPER_QUARTILE_SALES_PRICE_RESALE]</v>
      </c>
      <c r="F19" s="2" t="s">
        <v>302</v>
      </c>
      <c r="J19" t="str">
        <f t="shared" si="1"/>
        <v>UPDATE dbo.NationWideHomeSalesReport_FullHist  SET [TOTAL_UPPER_QUARTILE_SALES_PRICE_RESALE] = REPLACE([TOTAL_UPPER_QUARTILE_SALES_PRICE_RESALE], ',', '');</v>
      </c>
    </row>
    <row r="20" spans="2:10">
      <c r="B20" s="1" t="s">
        <v>68</v>
      </c>
      <c r="C20" t="s">
        <v>87</v>
      </c>
      <c r="D20" s="2" t="s">
        <v>301</v>
      </c>
      <c r="E20" t="str">
        <f t="shared" si="0"/>
        <v>[TOTAL_UPPER_QUARTILE_SALES_PRICE_NEW_CONST]</v>
      </c>
      <c r="F20" s="2" t="s">
        <v>302</v>
      </c>
      <c r="J20" t="str">
        <f t="shared" si="1"/>
        <v>UPDATE dbo.NationWideHomeSalesReport_FullHist  SET [TOTAL_UPPER_QUARTILE_SALES_PRICE_NEW_CONST] = REPLACE([TOTAL_UPPER_QUARTILE_SALES_PRICE_NEW_CONST], ',', '');</v>
      </c>
    </row>
    <row r="21" spans="2:10">
      <c r="B21" s="1" t="s">
        <v>68</v>
      </c>
      <c r="C21" t="s">
        <v>88</v>
      </c>
      <c r="D21" s="2" t="s">
        <v>301</v>
      </c>
      <c r="E21" t="str">
        <f t="shared" si="0"/>
        <v>[TOTAL_LOWER_QUARTILE_SALES_PRICE]</v>
      </c>
      <c r="F21" s="2" t="s">
        <v>302</v>
      </c>
      <c r="J21" t="str">
        <f t="shared" si="1"/>
        <v>UPDATE dbo.NationWideHomeSalesReport_FullHist  SET [TOTAL_LOWER_QUARTILE_SALES_PRICE] = REPLACE([TOTAL_LOWER_QUARTILE_SALES_PRICE], ',', '');</v>
      </c>
    </row>
    <row r="22" spans="2:10">
      <c r="B22" s="1" t="s">
        <v>68</v>
      </c>
      <c r="C22" t="s">
        <v>89</v>
      </c>
      <c r="D22" s="2" t="s">
        <v>301</v>
      </c>
      <c r="E22" t="str">
        <f t="shared" si="0"/>
        <v>[TOTAL_LOWER_QUARTILE_SALES_PRICE_RESALE]</v>
      </c>
      <c r="F22" s="2" t="s">
        <v>302</v>
      </c>
      <c r="J22" t="str">
        <f t="shared" si="1"/>
        <v>UPDATE dbo.NationWideHomeSalesReport_FullHist  SET [TOTAL_LOWER_QUARTILE_SALES_PRICE_RESALE] = REPLACE([TOTAL_LOWER_QUARTILE_SALES_PRICE_RESALE], ',', '');</v>
      </c>
    </row>
    <row r="23" spans="2:10">
      <c r="B23" s="1" t="s">
        <v>68</v>
      </c>
      <c r="C23" t="s">
        <v>90</v>
      </c>
      <c r="D23" s="2" t="s">
        <v>301</v>
      </c>
      <c r="E23" t="str">
        <f t="shared" si="0"/>
        <v>[TOTAL_LOWER_QUARTILE_SALES_PRICE_NEW_CONST]</v>
      </c>
      <c r="F23" s="2" t="s">
        <v>302</v>
      </c>
      <c r="J23" t="str">
        <f t="shared" si="1"/>
        <v>UPDATE dbo.NationWideHomeSalesReport_FullHist  SET [TOTAL_LOWER_QUARTILE_SALES_PRICE_NEW_CONST] = REPLACE([TOTAL_LOWER_QUARTILE_SALES_PRICE_NEW_CONST], ',', '');</v>
      </c>
    </row>
    <row r="24" spans="2:10">
      <c r="B24" s="1" t="s">
        <v>68</v>
      </c>
      <c r="C24" t="s">
        <v>91</v>
      </c>
      <c r="D24" s="2" t="s">
        <v>301</v>
      </c>
      <c r="E24" t="str">
        <f t="shared" si="0"/>
        <v>[TOTAL_AVG_SQFT]</v>
      </c>
      <c r="F24" s="2" t="s">
        <v>302</v>
      </c>
      <c r="J24" t="str">
        <f t="shared" si="1"/>
        <v>UPDATE dbo.NationWideHomeSalesReport_FullHist  SET [TOTAL_AVG_SQFT] = REPLACE([TOTAL_AVG_SQFT], ',', '');</v>
      </c>
    </row>
    <row r="25" spans="2:10">
      <c r="B25" s="1" t="s">
        <v>68</v>
      </c>
      <c r="C25" t="s">
        <v>92</v>
      </c>
      <c r="D25" s="2" t="s">
        <v>301</v>
      </c>
      <c r="E25" t="str">
        <f t="shared" si="0"/>
        <v>[TOTAL_AVG_SQFT_RESALE]</v>
      </c>
      <c r="F25" s="2" t="s">
        <v>302</v>
      </c>
      <c r="J25" t="str">
        <f t="shared" si="1"/>
        <v>UPDATE dbo.NationWideHomeSalesReport_FullHist  SET [TOTAL_AVG_SQFT_RESALE] = REPLACE([TOTAL_AVG_SQFT_RESALE], ',', '');</v>
      </c>
    </row>
    <row r="26" spans="2:10">
      <c r="B26" s="1" t="s">
        <v>68</v>
      </c>
      <c r="C26" t="s">
        <v>93</v>
      </c>
      <c r="D26" s="2" t="s">
        <v>301</v>
      </c>
      <c r="E26" t="str">
        <f t="shared" si="0"/>
        <v>[TOTAL_AVG_SQFT_NEW_CONST]</v>
      </c>
      <c r="F26" s="2" t="s">
        <v>302</v>
      </c>
      <c r="J26" t="str">
        <f t="shared" si="1"/>
        <v>UPDATE dbo.NationWideHomeSalesReport_FullHist  SET [TOTAL_AVG_SQFT_NEW_CONST] = REPLACE([TOTAL_AVG_SQFT_NEW_CONST], ',', '');</v>
      </c>
    </row>
    <row r="27" spans="2:10">
      <c r="B27" s="1" t="s">
        <v>68</v>
      </c>
      <c r="C27" t="s">
        <v>94</v>
      </c>
      <c r="D27" s="2" t="s">
        <v>301</v>
      </c>
      <c r="E27" t="str">
        <f t="shared" si="0"/>
        <v>[TOTAL_AVG_DOLLAR_PER_SQFT]</v>
      </c>
      <c r="F27" s="2" t="s">
        <v>302</v>
      </c>
      <c r="J27" t="str">
        <f t="shared" si="1"/>
        <v>UPDATE dbo.NationWideHomeSalesReport_FullHist  SET [TOTAL_AVG_DOLLAR_PER_SQFT] = REPLACE([TOTAL_AVG_DOLLAR_PER_SQFT], ',', '');</v>
      </c>
    </row>
    <row r="28" spans="2:10">
      <c r="B28" s="1" t="s">
        <v>68</v>
      </c>
      <c r="C28" t="s">
        <v>95</v>
      </c>
      <c r="D28" s="2" t="s">
        <v>301</v>
      </c>
      <c r="E28" t="str">
        <f t="shared" si="0"/>
        <v>[TOTAL_AVG_DOLLAR_PER_SQFT_RESALE]</v>
      </c>
      <c r="F28" s="2" t="s">
        <v>302</v>
      </c>
      <c r="J28" t="str">
        <f t="shared" si="1"/>
        <v>UPDATE dbo.NationWideHomeSalesReport_FullHist  SET [TOTAL_AVG_DOLLAR_PER_SQFT_RESALE] = REPLACE([TOTAL_AVG_DOLLAR_PER_SQFT_RESALE], ',', '');</v>
      </c>
    </row>
    <row r="29" spans="2:10">
      <c r="B29" s="1" t="s">
        <v>68</v>
      </c>
      <c r="C29" t="s">
        <v>96</v>
      </c>
      <c r="D29" s="2" t="s">
        <v>301</v>
      </c>
      <c r="E29" t="str">
        <f t="shared" si="0"/>
        <v>[TOTAL_AVG_DOLLAR_PER_SQFT_NEW_CONST]</v>
      </c>
      <c r="F29" s="2" t="s">
        <v>302</v>
      </c>
      <c r="J29" t="str">
        <f t="shared" si="1"/>
        <v>UPDATE dbo.NationWideHomeSalesReport_FullHist  SET [TOTAL_AVG_DOLLAR_PER_SQFT_NEW_CONST] = REPLACE([TOTAL_AVG_DOLLAR_PER_SQFT_NEW_CONST], ',', '');</v>
      </c>
    </row>
    <row r="30" spans="2:10">
      <c r="B30" s="1" t="s">
        <v>68</v>
      </c>
      <c r="C30" t="s">
        <v>97</v>
      </c>
      <c r="D30" s="2" t="s">
        <v>301</v>
      </c>
      <c r="E30" t="str">
        <f t="shared" si="0"/>
        <v>[TOTAL_MED_SQFT]</v>
      </c>
      <c r="F30" s="2" t="s">
        <v>302</v>
      </c>
      <c r="J30" t="str">
        <f t="shared" si="1"/>
        <v>UPDATE dbo.NationWideHomeSalesReport_FullHist  SET [TOTAL_MED_SQFT] = REPLACE([TOTAL_MED_SQFT], ',', '');</v>
      </c>
    </row>
    <row r="31" spans="2:10">
      <c r="B31" s="1" t="s">
        <v>68</v>
      </c>
      <c r="C31" t="s">
        <v>98</v>
      </c>
      <c r="D31" s="2" t="s">
        <v>301</v>
      </c>
      <c r="E31" t="str">
        <f t="shared" si="0"/>
        <v>[TOTAL_MED_SQFT_RESALE]</v>
      </c>
      <c r="F31" s="2" t="s">
        <v>302</v>
      </c>
      <c r="J31" t="str">
        <f t="shared" si="1"/>
        <v>UPDATE dbo.NationWideHomeSalesReport_FullHist  SET [TOTAL_MED_SQFT_RESALE] = REPLACE([TOTAL_MED_SQFT_RESALE], ',', '');</v>
      </c>
    </row>
    <row r="32" spans="2:10">
      <c r="B32" s="1" t="s">
        <v>68</v>
      </c>
      <c r="C32" t="s">
        <v>99</v>
      </c>
      <c r="D32" s="2" t="s">
        <v>301</v>
      </c>
      <c r="E32" t="str">
        <f t="shared" si="0"/>
        <v>[TOTAL_MED_SQFT_NEW_CONST]</v>
      </c>
      <c r="F32" s="2" t="s">
        <v>302</v>
      </c>
      <c r="J32" t="str">
        <f t="shared" si="1"/>
        <v>UPDATE dbo.NationWideHomeSalesReport_FullHist  SET [TOTAL_MED_SQFT_NEW_CONST] = REPLACE([TOTAL_MED_SQFT_NEW_CONST], ',', '');</v>
      </c>
    </row>
    <row r="33" spans="2:10">
      <c r="B33" s="1" t="s">
        <v>68</v>
      </c>
      <c r="C33" t="s">
        <v>100</v>
      </c>
      <c r="D33" s="2" t="s">
        <v>301</v>
      </c>
      <c r="E33" t="str">
        <f t="shared" si="0"/>
        <v>[TOTAL_MED_DOLLAR_PER_SQFT]</v>
      </c>
      <c r="F33" s="2" t="s">
        <v>302</v>
      </c>
      <c r="J33" t="str">
        <f t="shared" si="1"/>
        <v>UPDATE dbo.NationWideHomeSalesReport_FullHist  SET [TOTAL_MED_DOLLAR_PER_SQFT] = REPLACE([TOTAL_MED_DOLLAR_PER_SQFT], ',', '');</v>
      </c>
    </row>
    <row r="34" spans="2:10">
      <c r="B34" s="1" t="s">
        <v>68</v>
      </c>
      <c r="C34" t="s">
        <v>101</v>
      </c>
      <c r="D34" s="2" t="s">
        <v>301</v>
      </c>
      <c r="E34" t="str">
        <f t="shared" si="0"/>
        <v>[TOTAL_MED_DOLLAR_PER_SQFT_RESALE]</v>
      </c>
      <c r="F34" s="2" t="s">
        <v>302</v>
      </c>
      <c r="J34" t="str">
        <f t="shared" si="1"/>
        <v>UPDATE dbo.NationWideHomeSalesReport_FullHist  SET [TOTAL_MED_DOLLAR_PER_SQFT_RESALE] = REPLACE([TOTAL_MED_DOLLAR_PER_SQFT_RESALE], ',', '');</v>
      </c>
    </row>
    <row r="35" spans="2:10">
      <c r="B35" s="1" t="s">
        <v>68</v>
      </c>
      <c r="C35" t="s">
        <v>102</v>
      </c>
      <c r="D35" s="2" t="s">
        <v>301</v>
      </c>
      <c r="E35" t="str">
        <f t="shared" si="0"/>
        <v>[TOTAL_MED_DOLLAR_PER_SQFT_NEW_CONST]</v>
      </c>
      <c r="F35" s="2" t="s">
        <v>302</v>
      </c>
      <c r="J35" t="str">
        <f t="shared" si="1"/>
        <v>UPDATE dbo.NationWideHomeSalesReport_FullHist  SET [TOTAL_MED_DOLLAR_PER_SQFT_NEW_CONST] = REPLACE([TOTAL_MED_DOLLAR_PER_SQFT_NEW_CONST], ',', '');</v>
      </c>
    </row>
    <row r="36" spans="2:10">
      <c r="B36" s="1" t="s">
        <v>68</v>
      </c>
      <c r="C36" t="s">
        <v>103</v>
      </c>
      <c r="D36" s="2" t="s">
        <v>301</v>
      </c>
      <c r="E36" t="str">
        <f t="shared" si="0"/>
        <v>[TOTAL_12_MONTH_PRICE_CHANGE]</v>
      </c>
      <c r="F36" s="2" t="s">
        <v>302</v>
      </c>
      <c r="J36" t="str">
        <f t="shared" si="1"/>
        <v>UPDATE dbo.NationWideHomeSalesReport_FullHist  SET [TOTAL_12_MONTH_PRICE_CHANGE] = REPLACE([TOTAL_12_MONTH_PRICE_CHANGE], ',', '');</v>
      </c>
    </row>
    <row r="37" spans="2:10">
      <c r="B37" s="1" t="s">
        <v>68</v>
      </c>
      <c r="C37" t="s">
        <v>104</v>
      </c>
      <c r="D37" s="2" t="s">
        <v>301</v>
      </c>
      <c r="E37" t="str">
        <f t="shared" si="0"/>
        <v>[TOTAL_12_MONTH_PRICE_CHANGE_RESALE]</v>
      </c>
      <c r="F37" s="2" t="s">
        <v>302</v>
      </c>
      <c r="J37" t="str">
        <f t="shared" si="1"/>
        <v>UPDATE dbo.NationWideHomeSalesReport_FullHist  SET [TOTAL_12_MONTH_PRICE_CHANGE_RESALE] = REPLACE([TOTAL_12_MONTH_PRICE_CHANGE_RESALE], ',', '');</v>
      </c>
    </row>
    <row r="38" spans="2:10">
      <c r="B38" s="1" t="s">
        <v>68</v>
      </c>
      <c r="C38" t="s">
        <v>105</v>
      </c>
      <c r="D38" s="2" t="s">
        <v>301</v>
      </c>
      <c r="E38" t="str">
        <f t="shared" si="0"/>
        <v>[TOTAL_12_MONTH_PRICE_CHANGE_NEW_CONST]</v>
      </c>
      <c r="F38" s="2" t="s">
        <v>302</v>
      </c>
      <c r="J38" t="str">
        <f t="shared" si="1"/>
        <v>UPDATE dbo.NationWideHomeSalesReport_FullHist  SET [TOTAL_12_MONTH_PRICE_CHANGE_NEW_CONST] = REPLACE([TOTAL_12_MONTH_PRICE_CHANGE_NEW_CONST], ',', '');</v>
      </c>
    </row>
    <row r="39" spans="2:10">
      <c r="B39" s="1" t="s">
        <v>68</v>
      </c>
      <c r="C39" t="s">
        <v>106</v>
      </c>
      <c r="D39" s="2" t="s">
        <v>301</v>
      </c>
      <c r="E39" t="str">
        <f t="shared" si="0"/>
        <v>[TOTAL_OWNER_OCCUPIED_SALES]</v>
      </c>
      <c r="F39" s="2" t="s">
        <v>302</v>
      </c>
      <c r="J39" t="str">
        <f t="shared" si="1"/>
        <v>UPDATE dbo.NationWideHomeSalesReport_FullHist  SET [TOTAL_OWNER_OCCUPIED_SALES] = REPLACE([TOTAL_OWNER_OCCUPIED_SALES], ',', '');</v>
      </c>
    </row>
    <row r="40" spans="2:10">
      <c r="B40" s="1" t="s">
        <v>68</v>
      </c>
      <c r="C40" t="s">
        <v>107</v>
      </c>
      <c r="D40" s="2" t="s">
        <v>301</v>
      </c>
      <c r="E40" t="str">
        <f t="shared" si="0"/>
        <v>[TOTAL_NON_OWNER_OCCUPIED_SALES]</v>
      </c>
      <c r="F40" s="2" t="s">
        <v>302</v>
      </c>
      <c r="J40" t="str">
        <f t="shared" si="1"/>
        <v>UPDATE dbo.NationWideHomeSalesReport_FullHist  SET [TOTAL_NON_OWNER_OCCUPIED_SALES] = REPLACE([TOTAL_NON_OWNER_OCCUPIED_SALES], ',', '');</v>
      </c>
    </row>
    <row r="41" spans="2:10">
      <c r="B41" s="1" t="s">
        <v>68</v>
      </c>
      <c r="C41" t="s">
        <v>108</v>
      </c>
      <c r="D41" s="2" t="s">
        <v>301</v>
      </c>
      <c r="E41" t="str">
        <f t="shared" si="0"/>
        <v>[TOTAL_OWNER_OCCUPIED_AVG_SALES_PRICE]</v>
      </c>
      <c r="F41" s="2" t="s">
        <v>302</v>
      </c>
      <c r="J41" t="str">
        <f t="shared" si="1"/>
        <v>UPDATE dbo.NationWideHomeSalesReport_FullHist  SET [TOTAL_OWNER_OCCUPIED_AVG_SALES_PRICE] = REPLACE([TOTAL_OWNER_OCCUPIED_AVG_SALES_PRICE], ',', '');</v>
      </c>
    </row>
    <row r="42" spans="2:10">
      <c r="B42" s="1" t="s">
        <v>68</v>
      </c>
      <c r="C42" t="s">
        <v>109</v>
      </c>
      <c r="D42" s="2" t="s">
        <v>301</v>
      </c>
      <c r="E42" t="str">
        <f t="shared" si="0"/>
        <v>[TOTAL_NON_OWNER_OCCUPIED_AVG_SALES_PRICE]</v>
      </c>
      <c r="F42" s="2" t="s">
        <v>302</v>
      </c>
      <c r="J42" t="str">
        <f t="shared" si="1"/>
        <v>UPDATE dbo.NationWideHomeSalesReport_FullHist  SET [TOTAL_NON_OWNER_OCCUPIED_AVG_SALES_PRICE] = REPLACE([TOTAL_NON_OWNER_OCCUPIED_AVG_SALES_PRICE], ',', '');</v>
      </c>
    </row>
    <row r="43" spans="2:10">
      <c r="B43" s="1" t="s">
        <v>68</v>
      </c>
      <c r="C43" t="s">
        <v>110</v>
      </c>
      <c r="D43" s="2" t="s">
        <v>301</v>
      </c>
      <c r="E43" t="str">
        <f t="shared" si="0"/>
        <v>[TOTAL_OWNER_OCCUPIED_MED_SALES_PRICE]</v>
      </c>
      <c r="F43" s="2" t="s">
        <v>302</v>
      </c>
      <c r="J43" t="str">
        <f t="shared" si="1"/>
        <v>UPDATE dbo.NationWideHomeSalesReport_FullHist  SET [TOTAL_OWNER_OCCUPIED_MED_SALES_PRICE] = REPLACE([TOTAL_OWNER_OCCUPIED_MED_SALES_PRICE], ',', '');</v>
      </c>
    </row>
    <row r="44" spans="2:10">
      <c r="B44" s="1" t="s">
        <v>68</v>
      </c>
      <c r="C44" t="s">
        <v>111</v>
      </c>
      <c r="D44" s="2" t="s">
        <v>301</v>
      </c>
      <c r="E44" t="str">
        <f t="shared" si="0"/>
        <v>[TOTAL_NON_OWNER_OCCUPIED_MED_SALES_PRICE]</v>
      </c>
      <c r="F44" s="2" t="s">
        <v>302</v>
      </c>
      <c r="J44" t="str">
        <f t="shared" si="1"/>
        <v>UPDATE dbo.NationWideHomeSalesReport_FullHist  SET [TOTAL_NON_OWNER_OCCUPIED_MED_SALES_PRICE] = REPLACE([TOTAL_NON_OWNER_OCCUPIED_MED_SALES_PRICE], ',', '');</v>
      </c>
    </row>
    <row r="45" spans="2:10">
      <c r="B45" s="1" t="s">
        <v>68</v>
      </c>
      <c r="C45" t="s">
        <v>112</v>
      </c>
      <c r="D45" s="2" t="s">
        <v>301</v>
      </c>
      <c r="E45" t="str">
        <f t="shared" si="0"/>
        <v>[TOTAL_SALES_BY_PRICE_RANGE_Under $250K]</v>
      </c>
      <c r="F45" s="2" t="s">
        <v>302</v>
      </c>
      <c r="J45" t="str">
        <f t="shared" si="1"/>
        <v>UPDATE dbo.NationWideHomeSalesReport_FullHist  SET [TOTAL_SALES_BY_PRICE_RANGE_Under $250K] = REPLACE([TOTAL_SALES_BY_PRICE_RANGE_Under $250K], ',', '');</v>
      </c>
    </row>
    <row r="46" spans="2:10">
      <c r="B46" s="1" t="s">
        <v>68</v>
      </c>
      <c r="C46" t="s">
        <v>113</v>
      </c>
      <c r="D46" s="2" t="s">
        <v>301</v>
      </c>
      <c r="E46" t="str">
        <f t="shared" si="0"/>
        <v>[TOTAL_SALES_BY_PRICE_RANGE_$250K-$500K]</v>
      </c>
      <c r="F46" s="2" t="s">
        <v>302</v>
      </c>
      <c r="J46" t="str">
        <f t="shared" si="1"/>
        <v>UPDATE dbo.NationWideHomeSalesReport_FullHist  SET [TOTAL_SALES_BY_PRICE_RANGE_$250K-$500K] = REPLACE([TOTAL_SALES_BY_PRICE_RANGE_$250K-$500K], ',', '');</v>
      </c>
    </row>
    <row r="47" spans="2:10">
      <c r="B47" s="1" t="s">
        <v>68</v>
      </c>
      <c r="C47" t="s">
        <v>114</v>
      </c>
      <c r="D47" s="2" t="s">
        <v>301</v>
      </c>
      <c r="E47" t="str">
        <f t="shared" si="0"/>
        <v>[TOTAL_SALES_BY_PRICE_RANGE_$500K-$750K]</v>
      </c>
      <c r="F47" s="2" t="s">
        <v>302</v>
      </c>
      <c r="J47" t="str">
        <f t="shared" si="1"/>
        <v>UPDATE dbo.NationWideHomeSalesReport_FullHist  SET [TOTAL_SALES_BY_PRICE_RANGE_$500K-$750K] = REPLACE([TOTAL_SALES_BY_PRICE_RANGE_$500K-$750K], ',', '');</v>
      </c>
    </row>
    <row r="48" spans="2:10">
      <c r="B48" s="1" t="s">
        <v>68</v>
      </c>
      <c r="C48" t="s">
        <v>115</v>
      </c>
      <c r="D48" s="2" t="s">
        <v>301</v>
      </c>
      <c r="E48" t="str">
        <f t="shared" si="0"/>
        <v>[TOTAL_SALES_BY_PRICE_RANGE_$750K-$1M]</v>
      </c>
      <c r="F48" s="2" t="s">
        <v>302</v>
      </c>
      <c r="J48" t="str">
        <f t="shared" si="1"/>
        <v>UPDATE dbo.NationWideHomeSalesReport_FullHist  SET [TOTAL_SALES_BY_PRICE_RANGE_$750K-$1M] = REPLACE([TOTAL_SALES_BY_PRICE_RANGE_$750K-$1M], ',', '');</v>
      </c>
    </row>
    <row r="49" spans="2:10">
      <c r="B49" s="1" t="s">
        <v>68</v>
      </c>
      <c r="C49" t="s">
        <v>116</v>
      </c>
      <c r="D49" s="2" t="s">
        <v>301</v>
      </c>
      <c r="E49" t="str">
        <f t="shared" si="0"/>
        <v>[TOTAL_SALES_BY_PRICE_RANGE_$1M-$1 5M]</v>
      </c>
      <c r="F49" s="2" t="s">
        <v>302</v>
      </c>
      <c r="J49" t="str">
        <f t="shared" si="1"/>
        <v>UPDATE dbo.NationWideHomeSalesReport_FullHist  SET [TOTAL_SALES_BY_PRICE_RANGE_$1M-$1 5M] = REPLACE([TOTAL_SALES_BY_PRICE_RANGE_$1M-$1 5M], ',', '');</v>
      </c>
    </row>
    <row r="50" spans="2:10">
      <c r="B50" s="1" t="s">
        <v>68</v>
      </c>
      <c r="C50" t="s">
        <v>117</v>
      </c>
      <c r="D50" s="2" t="s">
        <v>301</v>
      </c>
      <c r="E50" t="str">
        <f t="shared" si="0"/>
        <v>[TOTAL_SALES_BY_PRICE_RANGE_$1 5M-$2 0M]</v>
      </c>
      <c r="F50" s="2" t="s">
        <v>302</v>
      </c>
      <c r="J50" t="str">
        <f t="shared" si="1"/>
        <v>UPDATE dbo.NationWideHomeSalesReport_FullHist  SET [TOTAL_SALES_BY_PRICE_RANGE_$1 5M-$2 0M] = REPLACE([TOTAL_SALES_BY_PRICE_RANGE_$1 5M-$2 0M], ',', '');</v>
      </c>
    </row>
    <row r="51" spans="2:10">
      <c r="B51" s="1" t="s">
        <v>68</v>
      </c>
      <c r="C51" t="s">
        <v>118</v>
      </c>
      <c r="D51" s="2" t="s">
        <v>301</v>
      </c>
      <c r="E51" t="str">
        <f t="shared" si="0"/>
        <v>[TOTAL_SALES_BY_PRICE_RANGE_$2M-$3M]</v>
      </c>
      <c r="F51" s="2" t="s">
        <v>302</v>
      </c>
      <c r="J51" t="str">
        <f t="shared" si="1"/>
        <v>UPDATE dbo.NationWideHomeSalesReport_FullHist  SET [TOTAL_SALES_BY_PRICE_RANGE_$2M-$3M] = REPLACE([TOTAL_SALES_BY_PRICE_RANGE_$2M-$3M], ',', '');</v>
      </c>
    </row>
    <row r="52" spans="2:10">
      <c r="B52" s="1" t="s">
        <v>68</v>
      </c>
      <c r="C52" t="s">
        <v>119</v>
      </c>
      <c r="D52" s="2" t="s">
        <v>301</v>
      </c>
      <c r="E52" t="str">
        <f t="shared" si="0"/>
        <v>[TOTAL_SALES_BY_PRICE_RANGE_$3M-$5M]</v>
      </c>
      <c r="F52" s="2" t="s">
        <v>302</v>
      </c>
      <c r="J52" t="str">
        <f t="shared" si="1"/>
        <v>UPDATE dbo.NationWideHomeSalesReport_FullHist  SET [TOTAL_SALES_BY_PRICE_RANGE_$3M-$5M] = REPLACE([TOTAL_SALES_BY_PRICE_RANGE_$3M-$5M], ',', '');</v>
      </c>
    </row>
    <row r="53" spans="2:10">
      <c r="B53" s="1" t="s">
        <v>68</v>
      </c>
      <c r="C53" t="s">
        <v>120</v>
      </c>
      <c r="D53" s="2" t="s">
        <v>301</v>
      </c>
      <c r="E53" t="str">
        <f t="shared" si="0"/>
        <v>[TOTAL_SALES_BY_PRICE_RANGE_Over $5M]</v>
      </c>
      <c r="F53" s="2" t="s">
        <v>302</v>
      </c>
      <c r="J53" t="str">
        <f t="shared" si="1"/>
        <v>UPDATE dbo.NationWideHomeSalesReport_FullHist  SET [TOTAL_SALES_BY_PRICE_RANGE_Over $5M] = REPLACE([TOTAL_SALES_BY_PRICE_RANGE_Over $5M], ',', '');</v>
      </c>
    </row>
    <row r="54" spans="2:10">
      <c r="B54" s="1" t="s">
        <v>68</v>
      </c>
      <c r="C54" t="s">
        <v>121</v>
      </c>
      <c r="D54" s="2" t="s">
        <v>301</v>
      </c>
      <c r="E54" t="str">
        <f t="shared" si="0"/>
        <v>[CONDO_TOTAL_SALES]</v>
      </c>
      <c r="F54" s="2" t="s">
        <v>302</v>
      </c>
      <c r="J54" t="str">
        <f t="shared" si="1"/>
        <v>UPDATE dbo.NationWideHomeSalesReport_FullHist  SET [CONDO_TOTAL_SALES] = REPLACE([CONDO_TOTAL_SALES], ',', '');</v>
      </c>
    </row>
    <row r="55" spans="2:10">
      <c r="B55" s="1" t="s">
        <v>68</v>
      </c>
      <c r="C55" t="s">
        <v>122</v>
      </c>
      <c r="D55" s="2" t="s">
        <v>301</v>
      </c>
      <c r="E55" t="str">
        <f t="shared" si="0"/>
        <v>[CONDO_TOTAL_SALES_RESALE]</v>
      </c>
      <c r="F55" s="2" t="s">
        <v>302</v>
      </c>
      <c r="J55" t="str">
        <f t="shared" si="1"/>
        <v>UPDATE dbo.NationWideHomeSalesReport_FullHist  SET [CONDO_TOTAL_SALES_RESALE] = REPLACE([CONDO_TOTAL_SALES_RESALE], ',', '');</v>
      </c>
    </row>
    <row r="56" spans="2:10">
      <c r="B56" s="1" t="s">
        <v>68</v>
      </c>
      <c r="C56" t="s">
        <v>123</v>
      </c>
      <c r="D56" s="2" t="s">
        <v>301</v>
      </c>
      <c r="E56" t="str">
        <f t="shared" si="0"/>
        <v>[CONDO_TOTAL_SALES_NEW_CONST]</v>
      </c>
      <c r="F56" s="2" t="s">
        <v>302</v>
      </c>
      <c r="J56" t="str">
        <f t="shared" si="1"/>
        <v>UPDATE dbo.NationWideHomeSalesReport_FullHist  SET [CONDO_TOTAL_SALES_NEW_CONST] = REPLACE([CONDO_TOTAL_SALES_NEW_CONST], ',', '');</v>
      </c>
    </row>
    <row r="57" spans="2:10">
      <c r="B57" s="1" t="s">
        <v>68</v>
      </c>
      <c r="C57" t="s">
        <v>124</v>
      </c>
      <c r="D57" s="2" t="s">
        <v>301</v>
      </c>
      <c r="E57" t="str">
        <f t="shared" si="0"/>
        <v>[CONDO_AVG_SALES_PRICE]</v>
      </c>
      <c r="F57" s="2" t="s">
        <v>302</v>
      </c>
      <c r="J57" t="str">
        <f t="shared" si="1"/>
        <v>UPDATE dbo.NationWideHomeSalesReport_FullHist  SET [CONDO_AVG_SALES_PRICE] = REPLACE([CONDO_AVG_SALES_PRICE], ',', '');</v>
      </c>
    </row>
    <row r="58" spans="2:10">
      <c r="B58" s="1" t="s">
        <v>68</v>
      </c>
      <c r="C58" t="s">
        <v>125</v>
      </c>
      <c r="D58" s="2" t="s">
        <v>301</v>
      </c>
      <c r="E58" t="str">
        <f t="shared" si="0"/>
        <v>[CONDO_AVG_SALES_PRICE_RESALE]</v>
      </c>
      <c r="F58" s="2" t="s">
        <v>302</v>
      </c>
      <c r="J58" t="str">
        <f t="shared" si="1"/>
        <v>UPDATE dbo.NationWideHomeSalesReport_FullHist  SET [CONDO_AVG_SALES_PRICE_RESALE] = REPLACE([CONDO_AVG_SALES_PRICE_RESALE], ',', '');</v>
      </c>
    </row>
    <row r="59" spans="2:10">
      <c r="B59" s="1" t="s">
        <v>68</v>
      </c>
      <c r="C59" t="s">
        <v>126</v>
      </c>
      <c r="D59" s="2" t="s">
        <v>301</v>
      </c>
      <c r="E59" t="str">
        <f t="shared" si="0"/>
        <v>[CONDO_AVG_SALES_PRICE_NEW_CONST]</v>
      </c>
      <c r="F59" s="2" t="s">
        <v>302</v>
      </c>
      <c r="J59" t="str">
        <f t="shared" si="1"/>
        <v>UPDATE dbo.NationWideHomeSalesReport_FullHist  SET [CONDO_AVG_SALES_PRICE_NEW_CONST] = REPLACE([CONDO_AVG_SALES_PRICE_NEW_CONST], ',', '');</v>
      </c>
    </row>
    <row r="60" spans="2:10">
      <c r="B60" s="1" t="s">
        <v>68</v>
      </c>
      <c r="C60" t="s">
        <v>127</v>
      </c>
      <c r="D60" s="2" t="s">
        <v>301</v>
      </c>
      <c r="E60" t="str">
        <f t="shared" si="0"/>
        <v>[CONDO_MED_SALES_PRICE]</v>
      </c>
      <c r="F60" s="2" t="s">
        <v>302</v>
      </c>
      <c r="J60" t="str">
        <f t="shared" si="1"/>
        <v>UPDATE dbo.NationWideHomeSalesReport_FullHist  SET [CONDO_MED_SALES_PRICE] = REPLACE([CONDO_MED_SALES_PRICE], ',', '');</v>
      </c>
    </row>
    <row r="61" spans="2:10">
      <c r="B61" s="1" t="s">
        <v>68</v>
      </c>
      <c r="C61" t="s">
        <v>128</v>
      </c>
      <c r="D61" s="2" t="s">
        <v>301</v>
      </c>
      <c r="E61" t="str">
        <f t="shared" si="0"/>
        <v>[CONDO_MED_SALES_PRICE_RESALE]</v>
      </c>
      <c r="F61" s="2" t="s">
        <v>302</v>
      </c>
      <c r="J61" t="str">
        <f t="shared" si="1"/>
        <v>UPDATE dbo.NationWideHomeSalesReport_FullHist  SET [CONDO_MED_SALES_PRICE_RESALE] = REPLACE([CONDO_MED_SALES_PRICE_RESALE], ',', '');</v>
      </c>
    </row>
    <row r="62" spans="2:10">
      <c r="B62" s="1" t="s">
        <v>68</v>
      </c>
      <c r="C62" t="s">
        <v>129</v>
      </c>
      <c r="D62" s="2" t="s">
        <v>301</v>
      </c>
      <c r="E62" t="str">
        <f t="shared" si="0"/>
        <v>[CONDO_MED_SALES_PRICE_NEW_CONST]</v>
      </c>
      <c r="F62" s="2" t="s">
        <v>302</v>
      </c>
      <c r="J62" t="str">
        <f t="shared" si="1"/>
        <v>UPDATE dbo.NationWideHomeSalesReport_FullHist  SET [CONDO_MED_SALES_PRICE_NEW_CONST] = REPLACE([CONDO_MED_SALES_PRICE_NEW_CONST], ',', '');</v>
      </c>
    </row>
    <row r="63" spans="2:10">
      <c r="B63" s="1" t="s">
        <v>68</v>
      </c>
      <c r="C63" t="s">
        <v>130</v>
      </c>
      <c r="D63" s="2" t="s">
        <v>301</v>
      </c>
      <c r="E63" t="str">
        <f t="shared" si="0"/>
        <v>[CONDO_UPPER_QUARTILE_SALES_PRICE]</v>
      </c>
      <c r="F63" s="2" t="s">
        <v>302</v>
      </c>
      <c r="J63" t="str">
        <f t="shared" si="1"/>
        <v>UPDATE dbo.NationWideHomeSalesReport_FullHist  SET [CONDO_UPPER_QUARTILE_SALES_PRICE] = REPLACE([CONDO_UPPER_QUARTILE_SALES_PRICE], ',', '');</v>
      </c>
    </row>
    <row r="64" spans="2:10">
      <c r="B64" s="1" t="s">
        <v>68</v>
      </c>
      <c r="C64" t="s">
        <v>131</v>
      </c>
      <c r="D64" s="2" t="s">
        <v>301</v>
      </c>
      <c r="E64" t="str">
        <f t="shared" si="0"/>
        <v>[CONDO_UPPER_QUARTILE_SALES_PRICE_RESALE]</v>
      </c>
      <c r="F64" s="2" t="s">
        <v>302</v>
      </c>
      <c r="J64" t="str">
        <f t="shared" si="1"/>
        <v>UPDATE dbo.NationWideHomeSalesReport_FullHist  SET [CONDO_UPPER_QUARTILE_SALES_PRICE_RESALE] = REPLACE([CONDO_UPPER_QUARTILE_SALES_PRICE_RESALE], ',', '');</v>
      </c>
    </row>
    <row r="65" spans="2:10">
      <c r="B65" s="1" t="s">
        <v>68</v>
      </c>
      <c r="C65" t="s">
        <v>132</v>
      </c>
      <c r="D65" s="2" t="s">
        <v>301</v>
      </c>
      <c r="E65" t="str">
        <f t="shared" si="0"/>
        <v>[CONDO_UPPER_QUARTILE_SALES_PRICE_NEW_CONST]</v>
      </c>
      <c r="F65" s="2" t="s">
        <v>302</v>
      </c>
      <c r="J65" t="str">
        <f t="shared" si="1"/>
        <v>UPDATE dbo.NationWideHomeSalesReport_FullHist  SET [CONDO_UPPER_QUARTILE_SALES_PRICE_NEW_CONST] = REPLACE([CONDO_UPPER_QUARTILE_SALES_PRICE_NEW_CONST], ',', '');</v>
      </c>
    </row>
    <row r="66" spans="2:10">
      <c r="B66" s="1" t="s">
        <v>68</v>
      </c>
      <c r="C66" t="s">
        <v>133</v>
      </c>
      <c r="D66" s="2" t="s">
        <v>301</v>
      </c>
      <c r="E66" t="str">
        <f t="shared" si="0"/>
        <v>[CONDO_LOWER_QUARTILE_SALES_PRICE]</v>
      </c>
      <c r="F66" s="2" t="s">
        <v>302</v>
      </c>
      <c r="J66" t="str">
        <f t="shared" si="1"/>
        <v>UPDATE dbo.NationWideHomeSalesReport_FullHist  SET [CONDO_LOWER_QUARTILE_SALES_PRICE] = REPLACE([CONDO_LOWER_QUARTILE_SALES_PRICE], ',', '');</v>
      </c>
    </row>
    <row r="67" spans="2:10">
      <c r="B67" s="1" t="s">
        <v>68</v>
      </c>
      <c r="C67" t="s">
        <v>134</v>
      </c>
      <c r="D67" s="2" t="s">
        <v>301</v>
      </c>
      <c r="E67" t="str">
        <f t="shared" ref="E67:E130" si="2">C67</f>
        <v>[CONDO_LOWER_QUARTILE_SALES_PRICE_RESALE]</v>
      </c>
      <c r="F67" s="2" t="s">
        <v>302</v>
      </c>
      <c r="J67" t="str">
        <f t="shared" ref="J67:J130" si="3">B67&amp;C67&amp;D67&amp;E67&amp;F67&amp;G67&amp;H67</f>
        <v>UPDATE dbo.NationWideHomeSalesReport_FullHist  SET [CONDO_LOWER_QUARTILE_SALES_PRICE_RESALE] = REPLACE([CONDO_LOWER_QUARTILE_SALES_PRICE_RESALE], ',', '');</v>
      </c>
    </row>
    <row r="68" spans="2:10">
      <c r="B68" s="1" t="s">
        <v>68</v>
      </c>
      <c r="C68" t="s">
        <v>135</v>
      </c>
      <c r="D68" s="2" t="s">
        <v>301</v>
      </c>
      <c r="E68" t="str">
        <f t="shared" si="2"/>
        <v>[CONDO_LOWER_QUARTILE_SALES_PRICE_NEW_CONST]</v>
      </c>
      <c r="F68" s="2" t="s">
        <v>302</v>
      </c>
      <c r="J68" t="str">
        <f t="shared" si="3"/>
        <v>UPDATE dbo.NationWideHomeSalesReport_FullHist  SET [CONDO_LOWER_QUARTILE_SALES_PRICE_NEW_CONST] = REPLACE([CONDO_LOWER_QUARTILE_SALES_PRICE_NEW_CONST], ',', '');</v>
      </c>
    </row>
    <row r="69" spans="2:10">
      <c r="B69" s="1" t="s">
        <v>68</v>
      </c>
      <c r="C69" t="s">
        <v>136</v>
      </c>
      <c r="D69" s="2" t="s">
        <v>301</v>
      </c>
      <c r="E69" t="str">
        <f t="shared" si="2"/>
        <v>[CONDO_AVG_SQFT]</v>
      </c>
      <c r="F69" s="2" t="s">
        <v>302</v>
      </c>
      <c r="J69" t="str">
        <f t="shared" si="3"/>
        <v>UPDATE dbo.NationWideHomeSalesReport_FullHist  SET [CONDO_AVG_SQFT] = REPLACE([CONDO_AVG_SQFT], ',', '');</v>
      </c>
    </row>
    <row r="70" spans="2:10">
      <c r="B70" s="1" t="s">
        <v>68</v>
      </c>
      <c r="C70" t="s">
        <v>137</v>
      </c>
      <c r="D70" s="2" t="s">
        <v>301</v>
      </c>
      <c r="E70" t="str">
        <f t="shared" si="2"/>
        <v>[CONDO_AVG_SQFT_RESALE]</v>
      </c>
      <c r="F70" s="2" t="s">
        <v>302</v>
      </c>
      <c r="J70" t="str">
        <f t="shared" si="3"/>
        <v>UPDATE dbo.NationWideHomeSalesReport_FullHist  SET [CONDO_AVG_SQFT_RESALE] = REPLACE([CONDO_AVG_SQFT_RESALE], ',', '');</v>
      </c>
    </row>
    <row r="71" spans="2:10">
      <c r="B71" s="1" t="s">
        <v>68</v>
      </c>
      <c r="C71" t="s">
        <v>138</v>
      </c>
      <c r="D71" s="2" t="s">
        <v>301</v>
      </c>
      <c r="E71" t="str">
        <f t="shared" si="2"/>
        <v>[CONDO_AVG_SQFT_NEW_CONST]</v>
      </c>
      <c r="F71" s="2" t="s">
        <v>302</v>
      </c>
      <c r="J71" t="str">
        <f t="shared" si="3"/>
        <v>UPDATE dbo.NationWideHomeSalesReport_FullHist  SET [CONDO_AVG_SQFT_NEW_CONST] = REPLACE([CONDO_AVG_SQFT_NEW_CONST], ',', '');</v>
      </c>
    </row>
    <row r="72" spans="2:10">
      <c r="B72" s="1" t="s">
        <v>68</v>
      </c>
      <c r="C72" t="s">
        <v>139</v>
      </c>
      <c r="D72" s="2" t="s">
        <v>301</v>
      </c>
      <c r="E72" t="str">
        <f t="shared" si="2"/>
        <v>[CONDO_AVG_DOLLAR_PER_SQFT]</v>
      </c>
      <c r="F72" s="2" t="s">
        <v>302</v>
      </c>
      <c r="J72" t="str">
        <f t="shared" si="3"/>
        <v>UPDATE dbo.NationWideHomeSalesReport_FullHist  SET [CONDO_AVG_DOLLAR_PER_SQFT] = REPLACE([CONDO_AVG_DOLLAR_PER_SQFT], ',', '');</v>
      </c>
    </row>
    <row r="73" spans="2:10">
      <c r="B73" s="1" t="s">
        <v>68</v>
      </c>
      <c r="C73" t="s">
        <v>140</v>
      </c>
      <c r="D73" s="2" t="s">
        <v>301</v>
      </c>
      <c r="E73" t="str">
        <f t="shared" si="2"/>
        <v>[CONDO_AVG_DOLLAR_PER_SQFT_RESALE]</v>
      </c>
      <c r="F73" s="2" t="s">
        <v>302</v>
      </c>
      <c r="J73" t="str">
        <f t="shared" si="3"/>
        <v>UPDATE dbo.NationWideHomeSalesReport_FullHist  SET [CONDO_AVG_DOLLAR_PER_SQFT_RESALE] = REPLACE([CONDO_AVG_DOLLAR_PER_SQFT_RESALE], ',', '');</v>
      </c>
    </row>
    <row r="74" spans="2:10">
      <c r="B74" s="1" t="s">
        <v>68</v>
      </c>
      <c r="C74" t="s">
        <v>141</v>
      </c>
      <c r="D74" s="2" t="s">
        <v>301</v>
      </c>
      <c r="E74" t="str">
        <f t="shared" si="2"/>
        <v>[CONDO_AVG_DOLLAR_PER_SQFT_NEW_CONST]</v>
      </c>
      <c r="F74" s="2" t="s">
        <v>302</v>
      </c>
      <c r="J74" t="str">
        <f t="shared" si="3"/>
        <v>UPDATE dbo.NationWideHomeSalesReport_FullHist  SET [CONDO_AVG_DOLLAR_PER_SQFT_NEW_CONST] = REPLACE([CONDO_AVG_DOLLAR_PER_SQFT_NEW_CONST], ',', '');</v>
      </c>
    </row>
    <row r="75" spans="2:10">
      <c r="B75" s="1" t="s">
        <v>68</v>
      </c>
      <c r="C75" t="s">
        <v>142</v>
      </c>
      <c r="D75" s="2" t="s">
        <v>301</v>
      </c>
      <c r="E75" t="str">
        <f t="shared" si="2"/>
        <v>[CONDO_MED_SQFT]</v>
      </c>
      <c r="F75" s="2" t="s">
        <v>302</v>
      </c>
      <c r="J75" t="str">
        <f t="shared" si="3"/>
        <v>UPDATE dbo.NationWideHomeSalesReport_FullHist  SET [CONDO_MED_SQFT] = REPLACE([CONDO_MED_SQFT], ',', '');</v>
      </c>
    </row>
    <row r="76" spans="2:10">
      <c r="B76" s="1" t="s">
        <v>68</v>
      </c>
      <c r="C76" t="s">
        <v>143</v>
      </c>
      <c r="D76" s="2" t="s">
        <v>301</v>
      </c>
      <c r="E76" t="str">
        <f t="shared" si="2"/>
        <v>[CONDO_MED_SQFT_RESALE]</v>
      </c>
      <c r="F76" s="2" t="s">
        <v>302</v>
      </c>
      <c r="J76" t="str">
        <f t="shared" si="3"/>
        <v>UPDATE dbo.NationWideHomeSalesReport_FullHist  SET [CONDO_MED_SQFT_RESALE] = REPLACE([CONDO_MED_SQFT_RESALE], ',', '');</v>
      </c>
    </row>
    <row r="77" spans="2:10">
      <c r="B77" s="1" t="s">
        <v>68</v>
      </c>
      <c r="C77" t="s">
        <v>144</v>
      </c>
      <c r="D77" s="2" t="s">
        <v>301</v>
      </c>
      <c r="E77" t="str">
        <f t="shared" si="2"/>
        <v>[CONDO_MED_SQFT_NEW_CONST]</v>
      </c>
      <c r="F77" s="2" t="s">
        <v>302</v>
      </c>
      <c r="J77" t="str">
        <f t="shared" si="3"/>
        <v>UPDATE dbo.NationWideHomeSalesReport_FullHist  SET [CONDO_MED_SQFT_NEW_CONST] = REPLACE([CONDO_MED_SQFT_NEW_CONST], ',', '');</v>
      </c>
    </row>
    <row r="78" spans="2:10">
      <c r="B78" s="1" t="s">
        <v>68</v>
      </c>
      <c r="C78" t="s">
        <v>145</v>
      </c>
      <c r="D78" s="2" t="s">
        <v>301</v>
      </c>
      <c r="E78" t="str">
        <f t="shared" si="2"/>
        <v>[CONDO_MED_DOLLAR_PER_SQFT]</v>
      </c>
      <c r="F78" s="2" t="s">
        <v>302</v>
      </c>
      <c r="J78" t="str">
        <f t="shared" si="3"/>
        <v>UPDATE dbo.NationWideHomeSalesReport_FullHist  SET [CONDO_MED_DOLLAR_PER_SQFT] = REPLACE([CONDO_MED_DOLLAR_PER_SQFT], ',', '');</v>
      </c>
    </row>
    <row r="79" spans="2:10">
      <c r="B79" s="1" t="s">
        <v>68</v>
      </c>
      <c r="C79" t="s">
        <v>146</v>
      </c>
      <c r="D79" s="2" t="s">
        <v>301</v>
      </c>
      <c r="E79" t="str">
        <f t="shared" si="2"/>
        <v>[CONDO_MED_DOLLAR_PER_SQFT_RESALE]</v>
      </c>
      <c r="F79" s="2" t="s">
        <v>302</v>
      </c>
      <c r="J79" t="str">
        <f t="shared" si="3"/>
        <v>UPDATE dbo.NationWideHomeSalesReport_FullHist  SET [CONDO_MED_DOLLAR_PER_SQFT_RESALE] = REPLACE([CONDO_MED_DOLLAR_PER_SQFT_RESALE], ',', '');</v>
      </c>
    </row>
    <row r="80" spans="2:10">
      <c r="B80" s="1" t="s">
        <v>68</v>
      </c>
      <c r="C80" t="s">
        <v>147</v>
      </c>
      <c r="D80" s="2" t="s">
        <v>301</v>
      </c>
      <c r="E80" t="str">
        <f t="shared" si="2"/>
        <v>[CONDO_MED_DOLLAR_PER_SQFT_NEW_CONST]</v>
      </c>
      <c r="F80" s="2" t="s">
        <v>302</v>
      </c>
      <c r="J80" t="str">
        <f t="shared" si="3"/>
        <v>UPDATE dbo.NationWideHomeSalesReport_FullHist  SET [CONDO_MED_DOLLAR_PER_SQFT_NEW_CONST] = REPLACE([CONDO_MED_DOLLAR_PER_SQFT_NEW_CONST], ',', '');</v>
      </c>
    </row>
    <row r="81" spans="2:10">
      <c r="B81" s="1" t="s">
        <v>68</v>
      </c>
      <c r="C81" t="s">
        <v>148</v>
      </c>
      <c r="D81" s="2" t="s">
        <v>301</v>
      </c>
      <c r="E81" t="str">
        <f t="shared" si="2"/>
        <v>[CONDO_12_MONTH_PRICE_CHANGE]</v>
      </c>
      <c r="F81" s="2" t="s">
        <v>302</v>
      </c>
      <c r="J81" t="str">
        <f t="shared" si="3"/>
        <v>UPDATE dbo.NationWideHomeSalesReport_FullHist  SET [CONDO_12_MONTH_PRICE_CHANGE] = REPLACE([CONDO_12_MONTH_PRICE_CHANGE], ',', '');</v>
      </c>
    </row>
    <row r="82" spans="2:10">
      <c r="B82" s="1" t="s">
        <v>68</v>
      </c>
      <c r="C82" t="s">
        <v>149</v>
      </c>
      <c r="D82" s="2" t="s">
        <v>301</v>
      </c>
      <c r="E82" t="str">
        <f t="shared" si="2"/>
        <v>[CONDO_12_MONTH_PRICE_CHANGE_RESALE]</v>
      </c>
      <c r="F82" s="2" t="s">
        <v>302</v>
      </c>
      <c r="J82" t="str">
        <f t="shared" si="3"/>
        <v>UPDATE dbo.NationWideHomeSalesReport_FullHist  SET [CONDO_12_MONTH_PRICE_CHANGE_RESALE] = REPLACE([CONDO_12_MONTH_PRICE_CHANGE_RESALE], ',', '');</v>
      </c>
    </row>
    <row r="83" spans="2:10">
      <c r="B83" s="1" t="s">
        <v>68</v>
      </c>
      <c r="C83" t="s">
        <v>150</v>
      </c>
      <c r="D83" s="2" t="s">
        <v>301</v>
      </c>
      <c r="E83" t="str">
        <f t="shared" si="2"/>
        <v>[CONDO_12_MONTH_PRICE_CHANGE_NEW_CONST]</v>
      </c>
      <c r="F83" s="2" t="s">
        <v>302</v>
      </c>
      <c r="J83" t="str">
        <f t="shared" si="3"/>
        <v>UPDATE dbo.NationWideHomeSalesReport_FullHist  SET [CONDO_12_MONTH_PRICE_CHANGE_NEW_CONST] = REPLACE([CONDO_12_MONTH_PRICE_CHANGE_NEW_CONST], ',', '');</v>
      </c>
    </row>
    <row r="84" spans="2:10">
      <c r="B84" s="1" t="s">
        <v>68</v>
      </c>
      <c r="C84" t="s">
        <v>151</v>
      </c>
      <c r="D84" s="2" t="s">
        <v>301</v>
      </c>
      <c r="E84" t="str">
        <f t="shared" si="2"/>
        <v>[CONDO_OWNER_OCCUPIED_SALES]</v>
      </c>
      <c r="F84" s="2" t="s">
        <v>302</v>
      </c>
      <c r="J84" t="str">
        <f t="shared" si="3"/>
        <v>UPDATE dbo.NationWideHomeSalesReport_FullHist  SET [CONDO_OWNER_OCCUPIED_SALES] = REPLACE([CONDO_OWNER_OCCUPIED_SALES], ',', '');</v>
      </c>
    </row>
    <row r="85" spans="2:10">
      <c r="B85" s="1" t="s">
        <v>68</v>
      </c>
      <c r="C85" t="s">
        <v>152</v>
      </c>
      <c r="D85" s="2" t="s">
        <v>301</v>
      </c>
      <c r="E85" t="str">
        <f t="shared" si="2"/>
        <v>[CONDO_NON_OWNER_OCCUPIED_SALES]</v>
      </c>
      <c r="F85" s="2" t="s">
        <v>302</v>
      </c>
      <c r="J85" t="str">
        <f t="shared" si="3"/>
        <v>UPDATE dbo.NationWideHomeSalesReport_FullHist  SET [CONDO_NON_OWNER_OCCUPIED_SALES] = REPLACE([CONDO_NON_OWNER_OCCUPIED_SALES], ',', '');</v>
      </c>
    </row>
    <row r="86" spans="2:10">
      <c r="B86" s="1" t="s">
        <v>68</v>
      </c>
      <c r="C86" t="s">
        <v>153</v>
      </c>
      <c r="D86" s="2" t="s">
        <v>301</v>
      </c>
      <c r="E86" t="str">
        <f t="shared" si="2"/>
        <v>[CONDO_OWNER_OCCUPIED_AVG_SALES_PRICE]</v>
      </c>
      <c r="F86" s="2" t="s">
        <v>302</v>
      </c>
      <c r="J86" t="str">
        <f t="shared" si="3"/>
        <v>UPDATE dbo.NationWideHomeSalesReport_FullHist  SET [CONDO_OWNER_OCCUPIED_AVG_SALES_PRICE] = REPLACE([CONDO_OWNER_OCCUPIED_AVG_SALES_PRICE], ',', '');</v>
      </c>
    </row>
    <row r="87" spans="2:10">
      <c r="B87" s="1" t="s">
        <v>68</v>
      </c>
      <c r="C87" t="s">
        <v>154</v>
      </c>
      <c r="D87" s="2" t="s">
        <v>301</v>
      </c>
      <c r="E87" t="str">
        <f t="shared" si="2"/>
        <v>[CONDO_NON_OWNER_OCCUPIED_AVG_SALES_PRICE]</v>
      </c>
      <c r="F87" s="2" t="s">
        <v>302</v>
      </c>
      <c r="J87" t="str">
        <f t="shared" si="3"/>
        <v>UPDATE dbo.NationWideHomeSalesReport_FullHist  SET [CONDO_NON_OWNER_OCCUPIED_AVG_SALES_PRICE] = REPLACE([CONDO_NON_OWNER_OCCUPIED_AVG_SALES_PRICE], ',', '');</v>
      </c>
    </row>
    <row r="88" spans="2:10">
      <c r="B88" s="1" t="s">
        <v>68</v>
      </c>
      <c r="C88" t="s">
        <v>155</v>
      </c>
      <c r="D88" s="2" t="s">
        <v>301</v>
      </c>
      <c r="E88" t="str">
        <f t="shared" si="2"/>
        <v>[CONDO_OWNER_OCCUPIED_MED_SALES_PRICE]</v>
      </c>
      <c r="F88" s="2" t="s">
        <v>302</v>
      </c>
      <c r="J88" t="str">
        <f t="shared" si="3"/>
        <v>UPDATE dbo.NationWideHomeSalesReport_FullHist  SET [CONDO_OWNER_OCCUPIED_MED_SALES_PRICE] = REPLACE([CONDO_OWNER_OCCUPIED_MED_SALES_PRICE], ',', '');</v>
      </c>
    </row>
    <row r="89" spans="2:10">
      <c r="B89" s="1" t="s">
        <v>68</v>
      </c>
      <c r="C89" t="s">
        <v>156</v>
      </c>
      <c r="D89" s="2" t="s">
        <v>301</v>
      </c>
      <c r="E89" t="str">
        <f t="shared" si="2"/>
        <v>[CONDO_NON_OWNER_OCCUPIED_MED_SALES_PRICE]</v>
      </c>
      <c r="F89" s="2" t="s">
        <v>302</v>
      </c>
      <c r="J89" t="str">
        <f t="shared" si="3"/>
        <v>UPDATE dbo.NationWideHomeSalesReport_FullHist  SET [CONDO_NON_OWNER_OCCUPIED_MED_SALES_PRICE] = REPLACE([CONDO_NON_OWNER_OCCUPIED_MED_SALES_PRICE], ',', '');</v>
      </c>
    </row>
    <row r="90" spans="2:10">
      <c r="B90" s="1" t="s">
        <v>68</v>
      </c>
      <c r="C90" t="s">
        <v>157</v>
      </c>
      <c r="D90" s="2" t="s">
        <v>301</v>
      </c>
      <c r="E90" t="str">
        <f t="shared" si="2"/>
        <v>[CONDO_SALES_BY_PRICE_RANGE_Under $250K]</v>
      </c>
      <c r="F90" s="2" t="s">
        <v>302</v>
      </c>
      <c r="J90" t="str">
        <f t="shared" si="3"/>
        <v>UPDATE dbo.NationWideHomeSalesReport_FullHist  SET [CONDO_SALES_BY_PRICE_RANGE_Under $250K] = REPLACE([CONDO_SALES_BY_PRICE_RANGE_Under $250K], ',', '');</v>
      </c>
    </row>
    <row r="91" spans="2:10">
      <c r="B91" s="1" t="s">
        <v>68</v>
      </c>
      <c r="C91" t="s">
        <v>158</v>
      </c>
      <c r="D91" s="2" t="s">
        <v>301</v>
      </c>
      <c r="E91" t="str">
        <f t="shared" si="2"/>
        <v>[CONDO_SALES_BY_PRICE_RANGE_$250K-$500K]</v>
      </c>
      <c r="F91" s="2" t="s">
        <v>302</v>
      </c>
      <c r="J91" t="str">
        <f t="shared" si="3"/>
        <v>UPDATE dbo.NationWideHomeSalesReport_FullHist  SET [CONDO_SALES_BY_PRICE_RANGE_$250K-$500K] = REPLACE([CONDO_SALES_BY_PRICE_RANGE_$250K-$500K], ',', '');</v>
      </c>
    </row>
    <row r="92" spans="2:10">
      <c r="B92" s="1" t="s">
        <v>68</v>
      </c>
      <c r="C92" t="s">
        <v>159</v>
      </c>
      <c r="D92" s="2" t="s">
        <v>301</v>
      </c>
      <c r="E92" t="str">
        <f t="shared" si="2"/>
        <v>[CONDO_SALES_BY_PRICE_RANGE_$500K-$750K]</v>
      </c>
      <c r="F92" s="2" t="s">
        <v>302</v>
      </c>
      <c r="J92" t="str">
        <f t="shared" si="3"/>
        <v>UPDATE dbo.NationWideHomeSalesReport_FullHist  SET [CONDO_SALES_BY_PRICE_RANGE_$500K-$750K] = REPLACE([CONDO_SALES_BY_PRICE_RANGE_$500K-$750K], ',', '');</v>
      </c>
    </row>
    <row r="93" spans="2:10">
      <c r="B93" s="1" t="s">
        <v>68</v>
      </c>
      <c r="C93" t="s">
        <v>160</v>
      </c>
      <c r="D93" s="2" t="s">
        <v>301</v>
      </c>
      <c r="E93" t="str">
        <f t="shared" si="2"/>
        <v>[CONDO_SALES_BY_PRICE_RANGE_$750K-$1M]</v>
      </c>
      <c r="F93" s="2" t="s">
        <v>302</v>
      </c>
      <c r="J93" t="str">
        <f t="shared" si="3"/>
        <v>UPDATE dbo.NationWideHomeSalesReport_FullHist  SET [CONDO_SALES_BY_PRICE_RANGE_$750K-$1M] = REPLACE([CONDO_SALES_BY_PRICE_RANGE_$750K-$1M], ',', '');</v>
      </c>
    </row>
    <row r="94" spans="2:10">
      <c r="B94" s="1" t="s">
        <v>68</v>
      </c>
      <c r="C94" t="s">
        <v>161</v>
      </c>
      <c r="D94" s="2" t="s">
        <v>301</v>
      </c>
      <c r="E94" t="str">
        <f t="shared" si="2"/>
        <v>[CONDO_SALES_BY_PRICE_RANGE_$1M-$1 5M]</v>
      </c>
      <c r="F94" s="2" t="s">
        <v>302</v>
      </c>
      <c r="J94" t="str">
        <f t="shared" si="3"/>
        <v>UPDATE dbo.NationWideHomeSalesReport_FullHist  SET [CONDO_SALES_BY_PRICE_RANGE_$1M-$1 5M] = REPLACE([CONDO_SALES_BY_PRICE_RANGE_$1M-$1 5M], ',', '');</v>
      </c>
    </row>
    <row r="95" spans="2:10">
      <c r="B95" s="1" t="s">
        <v>68</v>
      </c>
      <c r="C95" t="s">
        <v>162</v>
      </c>
      <c r="D95" s="2" t="s">
        <v>301</v>
      </c>
      <c r="E95" t="str">
        <f t="shared" si="2"/>
        <v>[CONDO_SALES_BY_PRICE_RANGE_$1 5M-$2 0M]</v>
      </c>
      <c r="F95" s="2" t="s">
        <v>302</v>
      </c>
      <c r="J95" t="str">
        <f t="shared" si="3"/>
        <v>UPDATE dbo.NationWideHomeSalesReport_FullHist  SET [CONDO_SALES_BY_PRICE_RANGE_$1 5M-$2 0M] = REPLACE([CONDO_SALES_BY_PRICE_RANGE_$1 5M-$2 0M], ',', '');</v>
      </c>
    </row>
    <row r="96" spans="2:10">
      <c r="B96" s="1" t="s">
        <v>68</v>
      </c>
      <c r="C96" t="s">
        <v>163</v>
      </c>
      <c r="D96" s="2" t="s">
        <v>301</v>
      </c>
      <c r="E96" t="str">
        <f t="shared" si="2"/>
        <v>[CONDO_SALES_BY_PRICE_RANGE_$2M-$3M]</v>
      </c>
      <c r="F96" s="2" t="s">
        <v>302</v>
      </c>
      <c r="J96" t="str">
        <f t="shared" si="3"/>
        <v>UPDATE dbo.NationWideHomeSalesReport_FullHist  SET [CONDO_SALES_BY_PRICE_RANGE_$2M-$3M] = REPLACE([CONDO_SALES_BY_PRICE_RANGE_$2M-$3M], ',', '');</v>
      </c>
    </row>
    <row r="97" spans="2:10">
      <c r="B97" s="1" t="s">
        <v>68</v>
      </c>
      <c r="C97" t="s">
        <v>164</v>
      </c>
      <c r="D97" s="2" t="s">
        <v>301</v>
      </c>
      <c r="E97" t="str">
        <f t="shared" si="2"/>
        <v>[CONDO_SALES_BY_PRICE_RANGE_$3M-$5M]</v>
      </c>
      <c r="F97" s="2" t="s">
        <v>302</v>
      </c>
      <c r="J97" t="str">
        <f t="shared" si="3"/>
        <v>UPDATE dbo.NationWideHomeSalesReport_FullHist  SET [CONDO_SALES_BY_PRICE_RANGE_$3M-$5M] = REPLACE([CONDO_SALES_BY_PRICE_RANGE_$3M-$5M], ',', '');</v>
      </c>
    </row>
    <row r="98" spans="2:10">
      <c r="B98" s="1" t="s">
        <v>68</v>
      </c>
      <c r="C98" t="s">
        <v>165</v>
      </c>
      <c r="D98" s="2" t="s">
        <v>301</v>
      </c>
      <c r="E98" t="str">
        <f t="shared" si="2"/>
        <v>[CONDO_SALES_BY_PRICE_RANGE_Over $5M]</v>
      </c>
      <c r="F98" s="2" t="s">
        <v>302</v>
      </c>
      <c r="J98" t="str">
        <f t="shared" si="3"/>
        <v>UPDATE dbo.NationWideHomeSalesReport_FullHist  SET [CONDO_SALES_BY_PRICE_RANGE_Over $5M] = REPLACE([CONDO_SALES_BY_PRICE_RANGE_Over $5M], ',', '');</v>
      </c>
    </row>
    <row r="99" spans="2:10">
      <c r="B99" s="1" t="s">
        <v>68</v>
      </c>
      <c r="C99" t="s">
        <v>166</v>
      </c>
      <c r="D99" s="2" t="s">
        <v>301</v>
      </c>
      <c r="E99" t="str">
        <f t="shared" si="2"/>
        <v>[SFR_ATTACHED_TOTAL_SALES]</v>
      </c>
      <c r="F99" s="2" t="s">
        <v>302</v>
      </c>
      <c r="J99" t="str">
        <f t="shared" si="3"/>
        <v>UPDATE dbo.NationWideHomeSalesReport_FullHist  SET [SFR_ATTACHED_TOTAL_SALES] = REPLACE([SFR_ATTACHED_TOTAL_SALES], ',', '');</v>
      </c>
    </row>
    <row r="100" spans="2:10">
      <c r="B100" s="1" t="s">
        <v>68</v>
      </c>
      <c r="C100" t="s">
        <v>167</v>
      </c>
      <c r="D100" s="2" t="s">
        <v>301</v>
      </c>
      <c r="E100" t="str">
        <f t="shared" si="2"/>
        <v>[SFR_ATTACHED_TOTAL_SALES_RESALE]</v>
      </c>
      <c r="F100" s="2" t="s">
        <v>302</v>
      </c>
      <c r="J100" t="str">
        <f t="shared" si="3"/>
        <v>UPDATE dbo.NationWideHomeSalesReport_FullHist  SET [SFR_ATTACHED_TOTAL_SALES_RESALE] = REPLACE([SFR_ATTACHED_TOTAL_SALES_RESALE], ',', '');</v>
      </c>
    </row>
    <row r="101" spans="2:10">
      <c r="B101" s="1" t="s">
        <v>68</v>
      </c>
      <c r="C101" t="s">
        <v>168</v>
      </c>
      <c r="D101" s="2" t="s">
        <v>301</v>
      </c>
      <c r="E101" t="str">
        <f t="shared" si="2"/>
        <v>[SFR_ATTACHED_TOTAL_SALES_NEW_CONST]</v>
      </c>
      <c r="F101" s="2" t="s">
        <v>302</v>
      </c>
      <c r="J101" t="str">
        <f t="shared" si="3"/>
        <v>UPDATE dbo.NationWideHomeSalesReport_FullHist  SET [SFR_ATTACHED_TOTAL_SALES_NEW_CONST] = REPLACE([SFR_ATTACHED_TOTAL_SALES_NEW_CONST], ',', '');</v>
      </c>
    </row>
    <row r="102" spans="2:10">
      <c r="B102" s="1" t="s">
        <v>68</v>
      </c>
      <c r="C102" t="s">
        <v>169</v>
      </c>
      <c r="D102" s="2" t="s">
        <v>301</v>
      </c>
      <c r="E102" t="str">
        <f t="shared" si="2"/>
        <v>[SFR_ATTACHED_AVG_SALES_PRICE]</v>
      </c>
      <c r="F102" s="2" t="s">
        <v>302</v>
      </c>
      <c r="J102" t="str">
        <f t="shared" si="3"/>
        <v>UPDATE dbo.NationWideHomeSalesReport_FullHist  SET [SFR_ATTACHED_AVG_SALES_PRICE] = REPLACE([SFR_ATTACHED_AVG_SALES_PRICE], ',', '');</v>
      </c>
    </row>
    <row r="103" spans="2:10">
      <c r="B103" s="1" t="s">
        <v>68</v>
      </c>
      <c r="C103" t="s">
        <v>170</v>
      </c>
      <c r="D103" s="2" t="s">
        <v>301</v>
      </c>
      <c r="E103" t="str">
        <f t="shared" si="2"/>
        <v>[SFR_ATTACHED_AVG_SALES_PRICE_RESALE]</v>
      </c>
      <c r="F103" s="2" t="s">
        <v>302</v>
      </c>
      <c r="J103" t="str">
        <f t="shared" si="3"/>
        <v>UPDATE dbo.NationWideHomeSalesReport_FullHist  SET [SFR_ATTACHED_AVG_SALES_PRICE_RESALE] = REPLACE([SFR_ATTACHED_AVG_SALES_PRICE_RESALE], ',', '');</v>
      </c>
    </row>
    <row r="104" spans="2:10">
      <c r="B104" s="1" t="s">
        <v>68</v>
      </c>
      <c r="C104" t="s">
        <v>171</v>
      </c>
      <c r="D104" s="2" t="s">
        <v>301</v>
      </c>
      <c r="E104" t="str">
        <f t="shared" si="2"/>
        <v>[SFR_ATTACHED_AVG_SALES_PRICE_NEW_CONST]</v>
      </c>
      <c r="F104" s="2" t="s">
        <v>302</v>
      </c>
      <c r="J104" t="str">
        <f t="shared" si="3"/>
        <v>UPDATE dbo.NationWideHomeSalesReport_FullHist  SET [SFR_ATTACHED_AVG_SALES_PRICE_NEW_CONST] = REPLACE([SFR_ATTACHED_AVG_SALES_PRICE_NEW_CONST], ',', '');</v>
      </c>
    </row>
    <row r="105" spans="2:10">
      <c r="B105" s="1" t="s">
        <v>68</v>
      </c>
      <c r="C105" t="s">
        <v>172</v>
      </c>
      <c r="D105" s="2" t="s">
        <v>301</v>
      </c>
      <c r="E105" t="str">
        <f t="shared" si="2"/>
        <v>[SFR_ATTACHED_MED_SALES_PRICE]</v>
      </c>
      <c r="F105" s="2" t="s">
        <v>302</v>
      </c>
      <c r="J105" t="str">
        <f t="shared" si="3"/>
        <v>UPDATE dbo.NationWideHomeSalesReport_FullHist  SET [SFR_ATTACHED_MED_SALES_PRICE] = REPLACE([SFR_ATTACHED_MED_SALES_PRICE], ',', '');</v>
      </c>
    </row>
    <row r="106" spans="2:10">
      <c r="B106" s="1" t="s">
        <v>68</v>
      </c>
      <c r="C106" t="s">
        <v>173</v>
      </c>
      <c r="D106" s="2" t="s">
        <v>301</v>
      </c>
      <c r="E106" t="str">
        <f t="shared" si="2"/>
        <v>[SFR_ATTACHED_MED_SALES_PRICE_RESALE]</v>
      </c>
      <c r="F106" s="2" t="s">
        <v>302</v>
      </c>
      <c r="J106" t="str">
        <f t="shared" si="3"/>
        <v>UPDATE dbo.NationWideHomeSalesReport_FullHist  SET [SFR_ATTACHED_MED_SALES_PRICE_RESALE] = REPLACE([SFR_ATTACHED_MED_SALES_PRICE_RESALE], ',', '');</v>
      </c>
    </row>
    <row r="107" spans="2:10">
      <c r="B107" s="1" t="s">
        <v>68</v>
      </c>
      <c r="C107" t="s">
        <v>174</v>
      </c>
      <c r="D107" s="2" t="s">
        <v>301</v>
      </c>
      <c r="E107" t="str">
        <f t="shared" si="2"/>
        <v>[SFR_ATTACHED_MED_SALES_PRICE_NEW_CONST]</v>
      </c>
      <c r="F107" s="2" t="s">
        <v>302</v>
      </c>
      <c r="J107" t="str">
        <f t="shared" si="3"/>
        <v>UPDATE dbo.NationWideHomeSalesReport_FullHist  SET [SFR_ATTACHED_MED_SALES_PRICE_NEW_CONST] = REPLACE([SFR_ATTACHED_MED_SALES_PRICE_NEW_CONST], ',', '');</v>
      </c>
    </row>
    <row r="108" spans="2:10">
      <c r="B108" s="1" t="s">
        <v>68</v>
      </c>
      <c r="C108" t="s">
        <v>175</v>
      </c>
      <c r="D108" s="2" t="s">
        <v>301</v>
      </c>
      <c r="E108" t="str">
        <f t="shared" si="2"/>
        <v>[SFR_ATTACHED_UPPER_QUARTILE_SALES_PRICE]</v>
      </c>
      <c r="F108" s="2" t="s">
        <v>302</v>
      </c>
      <c r="J108" t="str">
        <f t="shared" si="3"/>
        <v>UPDATE dbo.NationWideHomeSalesReport_FullHist  SET [SFR_ATTACHED_UPPER_QUARTILE_SALES_PRICE] = REPLACE([SFR_ATTACHED_UPPER_QUARTILE_SALES_PRICE], ',', '');</v>
      </c>
    </row>
    <row r="109" spans="2:10">
      <c r="B109" s="1" t="s">
        <v>68</v>
      </c>
      <c r="C109" t="s">
        <v>176</v>
      </c>
      <c r="D109" s="2" t="s">
        <v>301</v>
      </c>
      <c r="E109" t="str">
        <f t="shared" si="2"/>
        <v>[SFR_ATTACHED_UPPER_QUARTILE_SALES_PRICE_RESALE]</v>
      </c>
      <c r="F109" s="2" t="s">
        <v>302</v>
      </c>
      <c r="J109" t="str">
        <f t="shared" si="3"/>
        <v>UPDATE dbo.NationWideHomeSalesReport_FullHist  SET [SFR_ATTACHED_UPPER_QUARTILE_SALES_PRICE_RESALE] = REPLACE([SFR_ATTACHED_UPPER_QUARTILE_SALES_PRICE_RESALE], ',', '');</v>
      </c>
    </row>
    <row r="110" spans="2:10">
      <c r="B110" s="1" t="s">
        <v>68</v>
      </c>
      <c r="C110" t="s">
        <v>177</v>
      </c>
      <c r="D110" s="2" t="s">
        <v>301</v>
      </c>
      <c r="E110" t="str">
        <f t="shared" si="2"/>
        <v>[SFR_ATTACHED_UPPER_QUARTILE_SALES_PRICE_NEW_CONST]</v>
      </c>
      <c r="F110" s="2" t="s">
        <v>302</v>
      </c>
      <c r="J110" t="str">
        <f t="shared" si="3"/>
        <v>UPDATE dbo.NationWideHomeSalesReport_FullHist  SET [SFR_ATTACHED_UPPER_QUARTILE_SALES_PRICE_NEW_CONST] = REPLACE([SFR_ATTACHED_UPPER_QUARTILE_SALES_PRICE_NEW_CONST], ',', '');</v>
      </c>
    </row>
    <row r="111" spans="2:10">
      <c r="B111" s="1" t="s">
        <v>68</v>
      </c>
      <c r="C111" t="s">
        <v>178</v>
      </c>
      <c r="D111" s="2" t="s">
        <v>301</v>
      </c>
      <c r="E111" t="str">
        <f t="shared" si="2"/>
        <v>[SFR_ATTACHED_LOWER_QUARTILE_SALES_PRICE]</v>
      </c>
      <c r="F111" s="2" t="s">
        <v>302</v>
      </c>
      <c r="J111" t="str">
        <f t="shared" si="3"/>
        <v>UPDATE dbo.NationWideHomeSalesReport_FullHist  SET [SFR_ATTACHED_LOWER_QUARTILE_SALES_PRICE] = REPLACE([SFR_ATTACHED_LOWER_QUARTILE_SALES_PRICE], ',', '');</v>
      </c>
    </row>
    <row r="112" spans="2:10">
      <c r="B112" s="1" t="s">
        <v>68</v>
      </c>
      <c r="C112" t="s">
        <v>179</v>
      </c>
      <c r="D112" s="2" t="s">
        <v>301</v>
      </c>
      <c r="E112" t="str">
        <f t="shared" si="2"/>
        <v>[SFR_ATTACHED_LOWER_QUARTILE_SALES_PRICE_RESALE]</v>
      </c>
      <c r="F112" s="2" t="s">
        <v>302</v>
      </c>
      <c r="J112" t="str">
        <f t="shared" si="3"/>
        <v>UPDATE dbo.NationWideHomeSalesReport_FullHist  SET [SFR_ATTACHED_LOWER_QUARTILE_SALES_PRICE_RESALE] = REPLACE([SFR_ATTACHED_LOWER_QUARTILE_SALES_PRICE_RESALE], ',', '');</v>
      </c>
    </row>
    <row r="113" spans="2:10">
      <c r="B113" s="1" t="s">
        <v>68</v>
      </c>
      <c r="C113" t="s">
        <v>180</v>
      </c>
      <c r="D113" s="2" t="s">
        <v>301</v>
      </c>
      <c r="E113" t="str">
        <f t="shared" si="2"/>
        <v>[SFR_ATTACHED_LOWER_QUARTILE_SALES_PRICE_NEW_CONST]</v>
      </c>
      <c r="F113" s="2" t="s">
        <v>302</v>
      </c>
      <c r="J113" t="str">
        <f t="shared" si="3"/>
        <v>UPDATE dbo.NationWideHomeSalesReport_FullHist  SET [SFR_ATTACHED_LOWER_QUARTILE_SALES_PRICE_NEW_CONST] = REPLACE([SFR_ATTACHED_LOWER_QUARTILE_SALES_PRICE_NEW_CONST], ',', '');</v>
      </c>
    </row>
    <row r="114" spans="2:10">
      <c r="B114" s="1" t="s">
        <v>68</v>
      </c>
      <c r="C114" t="s">
        <v>181</v>
      </c>
      <c r="D114" s="2" t="s">
        <v>301</v>
      </c>
      <c r="E114" t="str">
        <f t="shared" si="2"/>
        <v>[SFR_ATTACHED_AVG_SQFT]</v>
      </c>
      <c r="F114" s="2" t="s">
        <v>302</v>
      </c>
      <c r="J114" t="str">
        <f t="shared" si="3"/>
        <v>UPDATE dbo.NationWideHomeSalesReport_FullHist  SET [SFR_ATTACHED_AVG_SQFT] = REPLACE([SFR_ATTACHED_AVG_SQFT], ',', '');</v>
      </c>
    </row>
    <row r="115" spans="2:10">
      <c r="B115" s="1" t="s">
        <v>68</v>
      </c>
      <c r="C115" t="s">
        <v>182</v>
      </c>
      <c r="D115" s="2" t="s">
        <v>301</v>
      </c>
      <c r="E115" t="str">
        <f t="shared" si="2"/>
        <v>[SFR_ATTACHED_AVG_SQFT_RESALE]</v>
      </c>
      <c r="F115" s="2" t="s">
        <v>302</v>
      </c>
      <c r="J115" t="str">
        <f t="shared" si="3"/>
        <v>UPDATE dbo.NationWideHomeSalesReport_FullHist  SET [SFR_ATTACHED_AVG_SQFT_RESALE] = REPLACE([SFR_ATTACHED_AVG_SQFT_RESALE], ',', '');</v>
      </c>
    </row>
    <row r="116" spans="2:10">
      <c r="B116" s="1" t="s">
        <v>68</v>
      </c>
      <c r="C116" t="s">
        <v>183</v>
      </c>
      <c r="D116" s="2" t="s">
        <v>301</v>
      </c>
      <c r="E116" t="str">
        <f t="shared" si="2"/>
        <v>[SFR_ATTACHED_AVG_SQFT_NEW_CONST]</v>
      </c>
      <c r="F116" s="2" t="s">
        <v>302</v>
      </c>
      <c r="J116" t="str">
        <f t="shared" si="3"/>
        <v>UPDATE dbo.NationWideHomeSalesReport_FullHist  SET [SFR_ATTACHED_AVG_SQFT_NEW_CONST] = REPLACE([SFR_ATTACHED_AVG_SQFT_NEW_CONST], ',', '');</v>
      </c>
    </row>
    <row r="117" spans="2:10">
      <c r="B117" s="1" t="s">
        <v>68</v>
      </c>
      <c r="C117" t="s">
        <v>184</v>
      </c>
      <c r="D117" s="2" t="s">
        <v>301</v>
      </c>
      <c r="E117" t="str">
        <f t="shared" si="2"/>
        <v>[SFR_ATTACHED_AVG_DOLLAR_PER_SQFT]</v>
      </c>
      <c r="F117" s="2" t="s">
        <v>302</v>
      </c>
      <c r="J117" t="str">
        <f t="shared" si="3"/>
        <v>UPDATE dbo.NationWideHomeSalesReport_FullHist  SET [SFR_ATTACHED_AVG_DOLLAR_PER_SQFT] = REPLACE([SFR_ATTACHED_AVG_DOLLAR_PER_SQFT], ',', '');</v>
      </c>
    </row>
    <row r="118" spans="2:10">
      <c r="B118" s="1" t="s">
        <v>68</v>
      </c>
      <c r="C118" t="s">
        <v>185</v>
      </c>
      <c r="D118" s="2" t="s">
        <v>301</v>
      </c>
      <c r="E118" t="str">
        <f t="shared" si="2"/>
        <v>[SFR_ATTACHED_AVG_DOLLAR_PER_SQFT_RESALE]</v>
      </c>
      <c r="F118" s="2" t="s">
        <v>302</v>
      </c>
      <c r="J118" t="str">
        <f t="shared" si="3"/>
        <v>UPDATE dbo.NationWideHomeSalesReport_FullHist  SET [SFR_ATTACHED_AVG_DOLLAR_PER_SQFT_RESALE] = REPLACE([SFR_ATTACHED_AVG_DOLLAR_PER_SQFT_RESALE], ',', '');</v>
      </c>
    </row>
    <row r="119" spans="2:10">
      <c r="B119" s="1" t="s">
        <v>68</v>
      </c>
      <c r="C119" t="s">
        <v>186</v>
      </c>
      <c r="D119" s="2" t="s">
        <v>301</v>
      </c>
      <c r="E119" t="str">
        <f t="shared" si="2"/>
        <v>[SFR_ATTACHED_AVG_DOLLAR_PER_SQFT_NEW_CONST]</v>
      </c>
      <c r="F119" s="2" t="s">
        <v>302</v>
      </c>
      <c r="J119" t="str">
        <f t="shared" si="3"/>
        <v>UPDATE dbo.NationWideHomeSalesReport_FullHist  SET [SFR_ATTACHED_AVG_DOLLAR_PER_SQFT_NEW_CONST] = REPLACE([SFR_ATTACHED_AVG_DOLLAR_PER_SQFT_NEW_CONST], ',', '');</v>
      </c>
    </row>
    <row r="120" spans="2:10">
      <c r="B120" s="1" t="s">
        <v>68</v>
      </c>
      <c r="C120" t="s">
        <v>187</v>
      </c>
      <c r="D120" s="2" t="s">
        <v>301</v>
      </c>
      <c r="E120" t="str">
        <f t="shared" si="2"/>
        <v>[SFR_ATTACHED_MED_SQFT]</v>
      </c>
      <c r="F120" s="2" t="s">
        <v>302</v>
      </c>
      <c r="J120" t="str">
        <f t="shared" si="3"/>
        <v>UPDATE dbo.NationWideHomeSalesReport_FullHist  SET [SFR_ATTACHED_MED_SQFT] = REPLACE([SFR_ATTACHED_MED_SQFT], ',', '');</v>
      </c>
    </row>
    <row r="121" spans="2:10">
      <c r="B121" s="1" t="s">
        <v>68</v>
      </c>
      <c r="C121" t="s">
        <v>188</v>
      </c>
      <c r="D121" s="2" t="s">
        <v>301</v>
      </c>
      <c r="E121" t="str">
        <f t="shared" si="2"/>
        <v>[SFR_ATTACHED_MED_SQFT_RESALE]</v>
      </c>
      <c r="F121" s="2" t="s">
        <v>302</v>
      </c>
      <c r="J121" t="str">
        <f t="shared" si="3"/>
        <v>UPDATE dbo.NationWideHomeSalesReport_FullHist  SET [SFR_ATTACHED_MED_SQFT_RESALE] = REPLACE([SFR_ATTACHED_MED_SQFT_RESALE], ',', '');</v>
      </c>
    </row>
    <row r="122" spans="2:10">
      <c r="B122" s="1" t="s">
        <v>68</v>
      </c>
      <c r="C122" t="s">
        <v>189</v>
      </c>
      <c r="D122" s="2" t="s">
        <v>301</v>
      </c>
      <c r="E122" t="str">
        <f t="shared" si="2"/>
        <v>[SFR_ATTACHED_MED_SQFT_NEW_CONST]</v>
      </c>
      <c r="F122" s="2" t="s">
        <v>302</v>
      </c>
      <c r="J122" t="str">
        <f t="shared" si="3"/>
        <v>UPDATE dbo.NationWideHomeSalesReport_FullHist  SET [SFR_ATTACHED_MED_SQFT_NEW_CONST] = REPLACE([SFR_ATTACHED_MED_SQFT_NEW_CONST], ',', '');</v>
      </c>
    </row>
    <row r="123" spans="2:10">
      <c r="B123" s="1" t="s">
        <v>68</v>
      </c>
      <c r="C123" t="s">
        <v>190</v>
      </c>
      <c r="D123" s="2" t="s">
        <v>301</v>
      </c>
      <c r="E123" t="str">
        <f t="shared" si="2"/>
        <v>[SFR_ATTACHED_MED_DOLLAR_PER_SQFT]</v>
      </c>
      <c r="F123" s="2" t="s">
        <v>302</v>
      </c>
      <c r="J123" t="str">
        <f t="shared" si="3"/>
        <v>UPDATE dbo.NationWideHomeSalesReport_FullHist  SET [SFR_ATTACHED_MED_DOLLAR_PER_SQFT] = REPLACE([SFR_ATTACHED_MED_DOLLAR_PER_SQFT], ',', '');</v>
      </c>
    </row>
    <row r="124" spans="2:10">
      <c r="B124" s="1" t="s">
        <v>68</v>
      </c>
      <c r="C124" t="s">
        <v>191</v>
      </c>
      <c r="D124" s="2" t="s">
        <v>301</v>
      </c>
      <c r="E124" t="str">
        <f t="shared" si="2"/>
        <v>[SFR_ATTACHED_MED_DOLLAR_PER_SQFT_RESALE]</v>
      </c>
      <c r="F124" s="2" t="s">
        <v>302</v>
      </c>
      <c r="J124" t="str">
        <f t="shared" si="3"/>
        <v>UPDATE dbo.NationWideHomeSalesReport_FullHist  SET [SFR_ATTACHED_MED_DOLLAR_PER_SQFT_RESALE] = REPLACE([SFR_ATTACHED_MED_DOLLAR_PER_SQFT_RESALE], ',', '');</v>
      </c>
    </row>
    <row r="125" spans="2:10">
      <c r="B125" s="1" t="s">
        <v>68</v>
      </c>
      <c r="C125" t="s">
        <v>192</v>
      </c>
      <c r="D125" s="2" t="s">
        <v>301</v>
      </c>
      <c r="E125" t="str">
        <f t="shared" si="2"/>
        <v>[SFR_ATTACHED_MED_DOLLAR_PER_SQFT_NEW_CONST]</v>
      </c>
      <c r="F125" s="2" t="s">
        <v>302</v>
      </c>
      <c r="J125" t="str">
        <f t="shared" si="3"/>
        <v>UPDATE dbo.NationWideHomeSalesReport_FullHist  SET [SFR_ATTACHED_MED_DOLLAR_PER_SQFT_NEW_CONST] = REPLACE([SFR_ATTACHED_MED_DOLLAR_PER_SQFT_NEW_CONST], ',', '');</v>
      </c>
    </row>
    <row r="126" spans="2:10">
      <c r="B126" s="1" t="s">
        <v>68</v>
      </c>
      <c r="C126" t="s">
        <v>193</v>
      </c>
      <c r="D126" s="2" t="s">
        <v>301</v>
      </c>
      <c r="E126" t="str">
        <f t="shared" si="2"/>
        <v>[SFR_ATTACHED_12_MONTH_PRICE_CHANGE]</v>
      </c>
      <c r="F126" s="2" t="s">
        <v>302</v>
      </c>
      <c r="J126" t="str">
        <f t="shared" si="3"/>
        <v>UPDATE dbo.NationWideHomeSalesReport_FullHist  SET [SFR_ATTACHED_12_MONTH_PRICE_CHANGE] = REPLACE([SFR_ATTACHED_12_MONTH_PRICE_CHANGE], ',', '');</v>
      </c>
    </row>
    <row r="127" spans="2:10">
      <c r="B127" s="1" t="s">
        <v>68</v>
      </c>
      <c r="C127" t="s">
        <v>194</v>
      </c>
      <c r="D127" s="2" t="s">
        <v>301</v>
      </c>
      <c r="E127" t="str">
        <f t="shared" si="2"/>
        <v>[SFR_ATTACHED_12_MONTH_PRICE_CHANGE_RESALE]</v>
      </c>
      <c r="F127" s="2" t="s">
        <v>302</v>
      </c>
      <c r="J127" t="str">
        <f t="shared" si="3"/>
        <v>UPDATE dbo.NationWideHomeSalesReport_FullHist  SET [SFR_ATTACHED_12_MONTH_PRICE_CHANGE_RESALE] = REPLACE([SFR_ATTACHED_12_MONTH_PRICE_CHANGE_RESALE], ',', '');</v>
      </c>
    </row>
    <row r="128" spans="2:10">
      <c r="B128" s="1" t="s">
        <v>68</v>
      </c>
      <c r="C128" t="s">
        <v>195</v>
      </c>
      <c r="D128" s="2" t="s">
        <v>301</v>
      </c>
      <c r="E128" t="str">
        <f t="shared" si="2"/>
        <v>[SFR_ATTACHED_12_MONTH_PRICE_CHANGE_NEW_CONST]</v>
      </c>
      <c r="F128" s="2" t="s">
        <v>302</v>
      </c>
      <c r="J128" t="str">
        <f t="shared" si="3"/>
        <v>UPDATE dbo.NationWideHomeSalesReport_FullHist  SET [SFR_ATTACHED_12_MONTH_PRICE_CHANGE_NEW_CONST] = REPLACE([SFR_ATTACHED_12_MONTH_PRICE_CHANGE_NEW_CONST], ',', '');</v>
      </c>
    </row>
    <row r="129" spans="2:10">
      <c r="B129" s="1" t="s">
        <v>68</v>
      </c>
      <c r="C129" t="s">
        <v>196</v>
      </c>
      <c r="D129" s="2" t="s">
        <v>301</v>
      </c>
      <c r="E129" t="str">
        <f t="shared" si="2"/>
        <v>[SFR_ATTACHED_OWNER_OCCUPIED_SALES]</v>
      </c>
      <c r="F129" s="2" t="s">
        <v>302</v>
      </c>
      <c r="J129" t="str">
        <f t="shared" si="3"/>
        <v>UPDATE dbo.NationWideHomeSalesReport_FullHist  SET [SFR_ATTACHED_OWNER_OCCUPIED_SALES] = REPLACE([SFR_ATTACHED_OWNER_OCCUPIED_SALES], ',', '');</v>
      </c>
    </row>
    <row r="130" spans="2:10">
      <c r="B130" s="1" t="s">
        <v>68</v>
      </c>
      <c r="C130" t="s">
        <v>197</v>
      </c>
      <c r="D130" s="2" t="s">
        <v>301</v>
      </c>
      <c r="E130" t="str">
        <f t="shared" si="2"/>
        <v>[SFR_ATTACHED_NON_OWNER_OCCUPIED_SALES]</v>
      </c>
      <c r="F130" s="2" t="s">
        <v>302</v>
      </c>
      <c r="J130" t="str">
        <f t="shared" si="3"/>
        <v>UPDATE dbo.NationWideHomeSalesReport_FullHist  SET [SFR_ATTACHED_NON_OWNER_OCCUPIED_SALES] = REPLACE([SFR_ATTACHED_NON_OWNER_OCCUPIED_SALES], ',', '');</v>
      </c>
    </row>
    <row r="131" spans="2:10">
      <c r="B131" s="1" t="s">
        <v>68</v>
      </c>
      <c r="C131" t="s">
        <v>198</v>
      </c>
      <c r="D131" s="2" t="s">
        <v>301</v>
      </c>
      <c r="E131" t="str">
        <f t="shared" ref="E131:E194" si="4">C131</f>
        <v>[SFR_ATTACHED_OWNER_OCCUPIED_AVG_SALES_PRICE]</v>
      </c>
      <c r="F131" s="2" t="s">
        <v>302</v>
      </c>
      <c r="J131" t="str">
        <f t="shared" ref="J131:J194" si="5">B131&amp;C131&amp;D131&amp;E131&amp;F131&amp;G131&amp;H131</f>
        <v>UPDATE dbo.NationWideHomeSalesReport_FullHist  SET [SFR_ATTACHED_OWNER_OCCUPIED_AVG_SALES_PRICE] = REPLACE([SFR_ATTACHED_OWNER_OCCUPIED_AVG_SALES_PRICE], ',', '');</v>
      </c>
    </row>
    <row r="132" spans="2:10">
      <c r="B132" s="1" t="s">
        <v>68</v>
      </c>
      <c r="C132" t="s">
        <v>199</v>
      </c>
      <c r="D132" s="2" t="s">
        <v>301</v>
      </c>
      <c r="E132" t="str">
        <f t="shared" si="4"/>
        <v>[SFR_ATTACHED_NON_OWNER_OCCUPIED_AVG_SALES_PRICE]</v>
      </c>
      <c r="F132" s="2" t="s">
        <v>302</v>
      </c>
      <c r="J132" t="str">
        <f t="shared" si="5"/>
        <v>UPDATE dbo.NationWideHomeSalesReport_FullHist  SET [SFR_ATTACHED_NON_OWNER_OCCUPIED_AVG_SALES_PRICE] = REPLACE([SFR_ATTACHED_NON_OWNER_OCCUPIED_AVG_SALES_PRICE], ',', '');</v>
      </c>
    </row>
    <row r="133" spans="2:10">
      <c r="B133" s="1" t="s">
        <v>68</v>
      </c>
      <c r="C133" t="s">
        <v>200</v>
      </c>
      <c r="D133" s="2" t="s">
        <v>301</v>
      </c>
      <c r="E133" t="str">
        <f t="shared" si="4"/>
        <v>[SFR_ATTACHED_OWNER_OCCUPIED_MED_SALES_PRICE]</v>
      </c>
      <c r="F133" s="2" t="s">
        <v>302</v>
      </c>
      <c r="J133" t="str">
        <f t="shared" si="5"/>
        <v>UPDATE dbo.NationWideHomeSalesReport_FullHist  SET [SFR_ATTACHED_OWNER_OCCUPIED_MED_SALES_PRICE] = REPLACE([SFR_ATTACHED_OWNER_OCCUPIED_MED_SALES_PRICE], ',', '');</v>
      </c>
    </row>
    <row r="134" spans="2:10">
      <c r="B134" s="1" t="s">
        <v>68</v>
      </c>
      <c r="C134" t="s">
        <v>201</v>
      </c>
      <c r="D134" s="2" t="s">
        <v>301</v>
      </c>
      <c r="E134" t="str">
        <f t="shared" si="4"/>
        <v>[SFR_ATTACHED_NON_OWNER_OCCUPIED_MED_SALES_PRICE]</v>
      </c>
      <c r="F134" s="2" t="s">
        <v>302</v>
      </c>
      <c r="J134" t="str">
        <f t="shared" si="5"/>
        <v>UPDATE dbo.NationWideHomeSalesReport_FullHist  SET [SFR_ATTACHED_NON_OWNER_OCCUPIED_MED_SALES_PRICE] = REPLACE([SFR_ATTACHED_NON_OWNER_OCCUPIED_MED_SALES_PRICE], ',', '');</v>
      </c>
    </row>
    <row r="135" spans="2:10">
      <c r="B135" s="1" t="s">
        <v>68</v>
      </c>
      <c r="C135" t="s">
        <v>202</v>
      </c>
      <c r="D135" s="2" t="s">
        <v>301</v>
      </c>
      <c r="E135" t="str">
        <f t="shared" si="4"/>
        <v>[SFR_ATTACHED_SALES_BY_PRICE_RANGE_Under $250K]</v>
      </c>
      <c r="F135" s="2" t="s">
        <v>302</v>
      </c>
      <c r="J135" t="str">
        <f t="shared" si="5"/>
        <v>UPDATE dbo.NationWideHomeSalesReport_FullHist  SET [SFR_ATTACHED_SALES_BY_PRICE_RANGE_Under $250K] = REPLACE([SFR_ATTACHED_SALES_BY_PRICE_RANGE_Under $250K], ',', '');</v>
      </c>
    </row>
    <row r="136" spans="2:10">
      <c r="B136" s="1" t="s">
        <v>68</v>
      </c>
      <c r="C136" t="s">
        <v>203</v>
      </c>
      <c r="D136" s="2" t="s">
        <v>301</v>
      </c>
      <c r="E136" t="str">
        <f t="shared" si="4"/>
        <v>[SFR_ATTACHED_SALES_BY_PRICE_RANGE_$250K-$500K]</v>
      </c>
      <c r="F136" s="2" t="s">
        <v>302</v>
      </c>
      <c r="J136" t="str">
        <f t="shared" si="5"/>
        <v>UPDATE dbo.NationWideHomeSalesReport_FullHist  SET [SFR_ATTACHED_SALES_BY_PRICE_RANGE_$250K-$500K] = REPLACE([SFR_ATTACHED_SALES_BY_PRICE_RANGE_$250K-$500K], ',', '');</v>
      </c>
    </row>
    <row r="137" spans="2:10">
      <c r="B137" s="1" t="s">
        <v>68</v>
      </c>
      <c r="C137" t="s">
        <v>204</v>
      </c>
      <c r="D137" s="2" t="s">
        <v>301</v>
      </c>
      <c r="E137" t="str">
        <f t="shared" si="4"/>
        <v>[SFR_ATTACHED_SALES_BY_PRICE_RANGE_$500K-$750K]</v>
      </c>
      <c r="F137" s="2" t="s">
        <v>302</v>
      </c>
      <c r="J137" t="str">
        <f t="shared" si="5"/>
        <v>UPDATE dbo.NationWideHomeSalesReport_FullHist  SET [SFR_ATTACHED_SALES_BY_PRICE_RANGE_$500K-$750K] = REPLACE([SFR_ATTACHED_SALES_BY_PRICE_RANGE_$500K-$750K], ',', '');</v>
      </c>
    </row>
    <row r="138" spans="2:10">
      <c r="B138" s="1" t="s">
        <v>68</v>
      </c>
      <c r="C138" t="s">
        <v>205</v>
      </c>
      <c r="D138" s="2" t="s">
        <v>301</v>
      </c>
      <c r="E138" t="str">
        <f t="shared" si="4"/>
        <v>[SFR_ATTACHED_SALES_BY_PRICE_RANGE_$750K-$1M]</v>
      </c>
      <c r="F138" s="2" t="s">
        <v>302</v>
      </c>
      <c r="J138" t="str">
        <f t="shared" si="5"/>
        <v>UPDATE dbo.NationWideHomeSalesReport_FullHist  SET [SFR_ATTACHED_SALES_BY_PRICE_RANGE_$750K-$1M] = REPLACE([SFR_ATTACHED_SALES_BY_PRICE_RANGE_$750K-$1M], ',', '');</v>
      </c>
    </row>
    <row r="139" spans="2:10">
      <c r="B139" s="1" t="s">
        <v>68</v>
      </c>
      <c r="C139" t="s">
        <v>206</v>
      </c>
      <c r="D139" s="2" t="s">
        <v>301</v>
      </c>
      <c r="E139" t="str">
        <f t="shared" si="4"/>
        <v>[SFR_ATTACHED_SALES_BY_PRICE_RANGE_$1M-$1 5M]</v>
      </c>
      <c r="F139" s="2" t="s">
        <v>302</v>
      </c>
      <c r="J139" t="str">
        <f t="shared" si="5"/>
        <v>UPDATE dbo.NationWideHomeSalesReport_FullHist  SET [SFR_ATTACHED_SALES_BY_PRICE_RANGE_$1M-$1 5M] = REPLACE([SFR_ATTACHED_SALES_BY_PRICE_RANGE_$1M-$1 5M], ',', '');</v>
      </c>
    </row>
    <row r="140" spans="2:10">
      <c r="B140" s="1" t="s">
        <v>68</v>
      </c>
      <c r="C140" t="s">
        <v>207</v>
      </c>
      <c r="D140" s="2" t="s">
        <v>301</v>
      </c>
      <c r="E140" t="str">
        <f t="shared" si="4"/>
        <v>[SFR_ATTACHED_SALES_BY_PRICE_RANGE_$1 5M-$2 0M]</v>
      </c>
      <c r="F140" s="2" t="s">
        <v>302</v>
      </c>
      <c r="J140" t="str">
        <f t="shared" si="5"/>
        <v>UPDATE dbo.NationWideHomeSalesReport_FullHist  SET [SFR_ATTACHED_SALES_BY_PRICE_RANGE_$1 5M-$2 0M] = REPLACE([SFR_ATTACHED_SALES_BY_PRICE_RANGE_$1 5M-$2 0M], ',', '');</v>
      </c>
    </row>
    <row r="141" spans="2:10">
      <c r="B141" s="1" t="s">
        <v>68</v>
      </c>
      <c r="C141" t="s">
        <v>208</v>
      </c>
      <c r="D141" s="2" t="s">
        <v>301</v>
      </c>
      <c r="E141" t="str">
        <f t="shared" si="4"/>
        <v>[SFR_ATTACHED_SALES_BY_PRICE_RANGE_$2M-$3M]</v>
      </c>
      <c r="F141" s="2" t="s">
        <v>302</v>
      </c>
      <c r="J141" t="str">
        <f t="shared" si="5"/>
        <v>UPDATE dbo.NationWideHomeSalesReport_FullHist  SET [SFR_ATTACHED_SALES_BY_PRICE_RANGE_$2M-$3M] = REPLACE([SFR_ATTACHED_SALES_BY_PRICE_RANGE_$2M-$3M], ',', '');</v>
      </c>
    </row>
    <row r="142" spans="2:10">
      <c r="B142" s="1" t="s">
        <v>68</v>
      </c>
      <c r="C142" t="s">
        <v>209</v>
      </c>
      <c r="D142" s="2" t="s">
        <v>301</v>
      </c>
      <c r="E142" t="str">
        <f t="shared" si="4"/>
        <v>[SFR_ATTACHED_SALES_BY_PRICE_RANGE_$3M-$5M]</v>
      </c>
      <c r="F142" s="2" t="s">
        <v>302</v>
      </c>
      <c r="J142" t="str">
        <f t="shared" si="5"/>
        <v>UPDATE dbo.NationWideHomeSalesReport_FullHist  SET [SFR_ATTACHED_SALES_BY_PRICE_RANGE_$3M-$5M] = REPLACE([SFR_ATTACHED_SALES_BY_PRICE_RANGE_$3M-$5M], ',', '');</v>
      </c>
    </row>
    <row r="143" spans="2:10">
      <c r="B143" s="1" t="s">
        <v>68</v>
      </c>
      <c r="C143" t="s">
        <v>210</v>
      </c>
      <c r="D143" s="2" t="s">
        <v>301</v>
      </c>
      <c r="E143" t="str">
        <f t="shared" si="4"/>
        <v>[SFR_ATTACHED_SALES_BY_PRICE_RANGE_Over $5M]</v>
      </c>
      <c r="F143" s="2" t="s">
        <v>302</v>
      </c>
      <c r="J143" t="str">
        <f t="shared" si="5"/>
        <v>UPDATE dbo.NationWideHomeSalesReport_FullHist  SET [SFR_ATTACHED_SALES_BY_PRICE_RANGE_Over $5M] = REPLACE([SFR_ATTACHED_SALES_BY_PRICE_RANGE_Over $5M], ',', '');</v>
      </c>
    </row>
    <row r="144" spans="2:10">
      <c r="B144" s="1" t="s">
        <v>68</v>
      </c>
      <c r="C144" t="s">
        <v>211</v>
      </c>
      <c r="D144" s="2" t="s">
        <v>301</v>
      </c>
      <c r="E144" t="str">
        <f t="shared" si="4"/>
        <v>[SFR_DETACHED_TOTAL_SALES]</v>
      </c>
      <c r="F144" s="2" t="s">
        <v>302</v>
      </c>
      <c r="J144" t="str">
        <f t="shared" si="5"/>
        <v>UPDATE dbo.NationWideHomeSalesReport_FullHist  SET [SFR_DETACHED_TOTAL_SALES] = REPLACE([SFR_DETACHED_TOTAL_SALES], ',', '');</v>
      </c>
    </row>
    <row r="145" spans="2:10">
      <c r="B145" s="1" t="s">
        <v>68</v>
      </c>
      <c r="C145" t="s">
        <v>212</v>
      </c>
      <c r="D145" s="2" t="s">
        <v>301</v>
      </c>
      <c r="E145" t="str">
        <f t="shared" si="4"/>
        <v>[SFR_DETACHED_TOTAL_SALES_RESALE]</v>
      </c>
      <c r="F145" s="2" t="s">
        <v>302</v>
      </c>
      <c r="J145" t="str">
        <f t="shared" si="5"/>
        <v>UPDATE dbo.NationWideHomeSalesReport_FullHist  SET [SFR_DETACHED_TOTAL_SALES_RESALE] = REPLACE([SFR_DETACHED_TOTAL_SALES_RESALE], ',', '');</v>
      </c>
    </row>
    <row r="146" spans="2:10">
      <c r="B146" s="1" t="s">
        <v>68</v>
      </c>
      <c r="C146" t="s">
        <v>213</v>
      </c>
      <c r="D146" s="2" t="s">
        <v>301</v>
      </c>
      <c r="E146" t="str">
        <f t="shared" si="4"/>
        <v>[SFR_DETACHED_TOTAL_SALES_NEW_CONST]</v>
      </c>
      <c r="F146" s="2" t="s">
        <v>302</v>
      </c>
      <c r="J146" t="str">
        <f t="shared" si="5"/>
        <v>UPDATE dbo.NationWideHomeSalesReport_FullHist  SET [SFR_DETACHED_TOTAL_SALES_NEW_CONST] = REPLACE([SFR_DETACHED_TOTAL_SALES_NEW_CONST], ',', '');</v>
      </c>
    </row>
    <row r="147" spans="2:10">
      <c r="B147" s="1" t="s">
        <v>68</v>
      </c>
      <c r="C147" t="s">
        <v>214</v>
      </c>
      <c r="D147" s="2" t="s">
        <v>301</v>
      </c>
      <c r="E147" t="str">
        <f t="shared" si="4"/>
        <v>[SFR_DETACHED_AVG_SALES_PRICE]</v>
      </c>
      <c r="F147" s="2" t="s">
        <v>302</v>
      </c>
      <c r="J147" t="str">
        <f t="shared" si="5"/>
        <v>UPDATE dbo.NationWideHomeSalesReport_FullHist  SET [SFR_DETACHED_AVG_SALES_PRICE] = REPLACE([SFR_DETACHED_AVG_SALES_PRICE], ',', '');</v>
      </c>
    </row>
    <row r="148" spans="2:10">
      <c r="B148" s="1" t="s">
        <v>68</v>
      </c>
      <c r="C148" t="s">
        <v>215</v>
      </c>
      <c r="D148" s="2" t="s">
        <v>301</v>
      </c>
      <c r="E148" t="str">
        <f t="shared" si="4"/>
        <v>[SFR_DETACHED_AVG_SALES_PRICE_RESALE]</v>
      </c>
      <c r="F148" s="2" t="s">
        <v>302</v>
      </c>
      <c r="J148" t="str">
        <f t="shared" si="5"/>
        <v>UPDATE dbo.NationWideHomeSalesReport_FullHist  SET [SFR_DETACHED_AVG_SALES_PRICE_RESALE] = REPLACE([SFR_DETACHED_AVG_SALES_PRICE_RESALE], ',', '');</v>
      </c>
    </row>
    <row r="149" spans="2:10">
      <c r="B149" s="1" t="s">
        <v>68</v>
      </c>
      <c r="C149" t="s">
        <v>216</v>
      </c>
      <c r="D149" s="2" t="s">
        <v>301</v>
      </c>
      <c r="E149" t="str">
        <f t="shared" si="4"/>
        <v>[SFR_DETACHED_AVG_SALES_PRICE_NEW_CONST]</v>
      </c>
      <c r="F149" s="2" t="s">
        <v>302</v>
      </c>
      <c r="J149" t="str">
        <f t="shared" si="5"/>
        <v>UPDATE dbo.NationWideHomeSalesReport_FullHist  SET [SFR_DETACHED_AVG_SALES_PRICE_NEW_CONST] = REPLACE([SFR_DETACHED_AVG_SALES_PRICE_NEW_CONST], ',', '');</v>
      </c>
    </row>
    <row r="150" spans="2:10">
      <c r="B150" s="1" t="s">
        <v>68</v>
      </c>
      <c r="C150" t="s">
        <v>217</v>
      </c>
      <c r="D150" s="2" t="s">
        <v>301</v>
      </c>
      <c r="E150" t="str">
        <f t="shared" si="4"/>
        <v>[SFR_DETACHED_MED_SALES_PRICE]</v>
      </c>
      <c r="F150" s="2" t="s">
        <v>302</v>
      </c>
      <c r="J150" t="str">
        <f t="shared" si="5"/>
        <v>UPDATE dbo.NationWideHomeSalesReport_FullHist  SET [SFR_DETACHED_MED_SALES_PRICE] = REPLACE([SFR_DETACHED_MED_SALES_PRICE], ',', '');</v>
      </c>
    </row>
    <row r="151" spans="2:10">
      <c r="B151" s="1" t="s">
        <v>68</v>
      </c>
      <c r="C151" t="s">
        <v>218</v>
      </c>
      <c r="D151" s="2" t="s">
        <v>301</v>
      </c>
      <c r="E151" t="str">
        <f t="shared" si="4"/>
        <v>[SFR_DETACHED_MED_SALES_PRICE_RESALE]</v>
      </c>
      <c r="F151" s="2" t="s">
        <v>302</v>
      </c>
      <c r="J151" t="str">
        <f t="shared" si="5"/>
        <v>UPDATE dbo.NationWideHomeSalesReport_FullHist  SET [SFR_DETACHED_MED_SALES_PRICE_RESALE] = REPLACE([SFR_DETACHED_MED_SALES_PRICE_RESALE], ',', '');</v>
      </c>
    </row>
    <row r="152" spans="2:10">
      <c r="B152" s="1" t="s">
        <v>68</v>
      </c>
      <c r="C152" t="s">
        <v>219</v>
      </c>
      <c r="D152" s="2" t="s">
        <v>301</v>
      </c>
      <c r="E152" t="str">
        <f t="shared" si="4"/>
        <v>[SFR_DETACHED_MED_SALES_PRICE_NEW_CONST]</v>
      </c>
      <c r="F152" s="2" t="s">
        <v>302</v>
      </c>
      <c r="J152" t="str">
        <f t="shared" si="5"/>
        <v>UPDATE dbo.NationWideHomeSalesReport_FullHist  SET [SFR_DETACHED_MED_SALES_PRICE_NEW_CONST] = REPLACE([SFR_DETACHED_MED_SALES_PRICE_NEW_CONST], ',', '');</v>
      </c>
    </row>
    <row r="153" spans="2:10">
      <c r="B153" s="1" t="s">
        <v>68</v>
      </c>
      <c r="C153" t="s">
        <v>220</v>
      </c>
      <c r="D153" s="2" t="s">
        <v>301</v>
      </c>
      <c r="E153" t="str">
        <f t="shared" si="4"/>
        <v>[SFR_DETACHED_UPPER_QUARTILE_SALES_PRICE]</v>
      </c>
      <c r="F153" s="2" t="s">
        <v>302</v>
      </c>
      <c r="J153" t="str">
        <f t="shared" si="5"/>
        <v>UPDATE dbo.NationWideHomeSalesReport_FullHist  SET [SFR_DETACHED_UPPER_QUARTILE_SALES_PRICE] = REPLACE([SFR_DETACHED_UPPER_QUARTILE_SALES_PRICE], ',', '');</v>
      </c>
    </row>
    <row r="154" spans="2:10">
      <c r="B154" s="1" t="s">
        <v>68</v>
      </c>
      <c r="C154" t="s">
        <v>221</v>
      </c>
      <c r="D154" s="2" t="s">
        <v>301</v>
      </c>
      <c r="E154" t="str">
        <f t="shared" si="4"/>
        <v>[SFR_DETACHED_UPPER_QUARTILE_SALES_PRICE_RESALE]</v>
      </c>
      <c r="F154" s="2" t="s">
        <v>302</v>
      </c>
      <c r="J154" t="str">
        <f t="shared" si="5"/>
        <v>UPDATE dbo.NationWideHomeSalesReport_FullHist  SET [SFR_DETACHED_UPPER_QUARTILE_SALES_PRICE_RESALE] = REPLACE([SFR_DETACHED_UPPER_QUARTILE_SALES_PRICE_RESALE], ',', '');</v>
      </c>
    </row>
    <row r="155" spans="2:10">
      <c r="B155" s="1" t="s">
        <v>68</v>
      </c>
      <c r="C155" t="s">
        <v>222</v>
      </c>
      <c r="D155" s="2" t="s">
        <v>301</v>
      </c>
      <c r="E155" t="str">
        <f t="shared" si="4"/>
        <v>[SFR_DETACHED_UPPER_QUARTILE_SALES_PRICE_NEW_CONST]</v>
      </c>
      <c r="F155" s="2" t="s">
        <v>302</v>
      </c>
      <c r="J155" t="str">
        <f t="shared" si="5"/>
        <v>UPDATE dbo.NationWideHomeSalesReport_FullHist  SET [SFR_DETACHED_UPPER_QUARTILE_SALES_PRICE_NEW_CONST] = REPLACE([SFR_DETACHED_UPPER_QUARTILE_SALES_PRICE_NEW_CONST], ',', '');</v>
      </c>
    </row>
    <row r="156" spans="2:10">
      <c r="B156" s="1" t="s">
        <v>68</v>
      </c>
      <c r="C156" t="s">
        <v>223</v>
      </c>
      <c r="D156" s="2" t="s">
        <v>301</v>
      </c>
      <c r="E156" t="str">
        <f t="shared" si="4"/>
        <v>[SFR_DETACHED_LOWER_QUARTILE_SALES_PRICE]</v>
      </c>
      <c r="F156" s="2" t="s">
        <v>302</v>
      </c>
      <c r="J156" t="str">
        <f t="shared" si="5"/>
        <v>UPDATE dbo.NationWideHomeSalesReport_FullHist  SET [SFR_DETACHED_LOWER_QUARTILE_SALES_PRICE] = REPLACE([SFR_DETACHED_LOWER_QUARTILE_SALES_PRICE], ',', '');</v>
      </c>
    </row>
    <row r="157" spans="2:10">
      <c r="B157" s="1" t="s">
        <v>68</v>
      </c>
      <c r="C157" t="s">
        <v>224</v>
      </c>
      <c r="D157" s="2" t="s">
        <v>301</v>
      </c>
      <c r="E157" t="str">
        <f t="shared" si="4"/>
        <v>[SFR_DETACHED_LOWER_QUARTILE_SALES_PRICE_RESALE]</v>
      </c>
      <c r="F157" s="2" t="s">
        <v>302</v>
      </c>
      <c r="J157" t="str">
        <f t="shared" si="5"/>
        <v>UPDATE dbo.NationWideHomeSalesReport_FullHist  SET [SFR_DETACHED_LOWER_QUARTILE_SALES_PRICE_RESALE] = REPLACE([SFR_DETACHED_LOWER_QUARTILE_SALES_PRICE_RESALE], ',', '');</v>
      </c>
    </row>
    <row r="158" spans="2:10">
      <c r="B158" s="1" t="s">
        <v>68</v>
      </c>
      <c r="C158" t="s">
        <v>225</v>
      </c>
      <c r="D158" s="2" t="s">
        <v>301</v>
      </c>
      <c r="E158" t="str">
        <f t="shared" si="4"/>
        <v>[SFR_DETACHED_LOWER_QUARTILE_SALES_PRICE_NEW_CONST]</v>
      </c>
      <c r="F158" s="2" t="s">
        <v>302</v>
      </c>
      <c r="J158" t="str">
        <f t="shared" si="5"/>
        <v>UPDATE dbo.NationWideHomeSalesReport_FullHist  SET [SFR_DETACHED_LOWER_QUARTILE_SALES_PRICE_NEW_CONST] = REPLACE([SFR_DETACHED_LOWER_QUARTILE_SALES_PRICE_NEW_CONST], ',', '');</v>
      </c>
    </row>
    <row r="159" spans="2:10">
      <c r="B159" s="1" t="s">
        <v>68</v>
      </c>
      <c r="C159" t="s">
        <v>226</v>
      </c>
      <c r="D159" s="2" t="s">
        <v>301</v>
      </c>
      <c r="E159" t="str">
        <f t="shared" si="4"/>
        <v>[SFR_DETACHED_AVG_SQFT]</v>
      </c>
      <c r="F159" s="2" t="s">
        <v>302</v>
      </c>
      <c r="J159" t="str">
        <f t="shared" si="5"/>
        <v>UPDATE dbo.NationWideHomeSalesReport_FullHist  SET [SFR_DETACHED_AVG_SQFT] = REPLACE([SFR_DETACHED_AVG_SQFT], ',', '');</v>
      </c>
    </row>
    <row r="160" spans="2:10">
      <c r="B160" s="1" t="s">
        <v>68</v>
      </c>
      <c r="C160" t="s">
        <v>227</v>
      </c>
      <c r="D160" s="2" t="s">
        <v>301</v>
      </c>
      <c r="E160" t="str">
        <f t="shared" si="4"/>
        <v>[SFR_DETACHED_AVG_SQFT_RESALE]</v>
      </c>
      <c r="F160" s="2" t="s">
        <v>302</v>
      </c>
      <c r="J160" t="str">
        <f t="shared" si="5"/>
        <v>UPDATE dbo.NationWideHomeSalesReport_FullHist  SET [SFR_DETACHED_AVG_SQFT_RESALE] = REPLACE([SFR_DETACHED_AVG_SQFT_RESALE], ',', '');</v>
      </c>
    </row>
    <row r="161" spans="2:10">
      <c r="B161" s="1" t="s">
        <v>68</v>
      </c>
      <c r="C161" t="s">
        <v>228</v>
      </c>
      <c r="D161" s="2" t="s">
        <v>301</v>
      </c>
      <c r="E161" t="str">
        <f t="shared" si="4"/>
        <v>[SFR_DETACHED_AVG_SQFT_NEW_CONST]</v>
      </c>
      <c r="F161" s="2" t="s">
        <v>302</v>
      </c>
      <c r="J161" t="str">
        <f t="shared" si="5"/>
        <v>UPDATE dbo.NationWideHomeSalesReport_FullHist  SET [SFR_DETACHED_AVG_SQFT_NEW_CONST] = REPLACE([SFR_DETACHED_AVG_SQFT_NEW_CONST], ',', '');</v>
      </c>
    </row>
    <row r="162" spans="2:10">
      <c r="B162" s="1" t="s">
        <v>68</v>
      </c>
      <c r="C162" t="s">
        <v>229</v>
      </c>
      <c r="D162" s="2" t="s">
        <v>301</v>
      </c>
      <c r="E162" t="str">
        <f t="shared" si="4"/>
        <v>[SFR_DETACHED_AVG_DOLLAR_PER_SQFT]</v>
      </c>
      <c r="F162" s="2" t="s">
        <v>302</v>
      </c>
      <c r="J162" t="str">
        <f t="shared" si="5"/>
        <v>UPDATE dbo.NationWideHomeSalesReport_FullHist  SET [SFR_DETACHED_AVG_DOLLAR_PER_SQFT] = REPLACE([SFR_DETACHED_AVG_DOLLAR_PER_SQFT], ',', '');</v>
      </c>
    </row>
    <row r="163" spans="2:10">
      <c r="B163" s="1" t="s">
        <v>68</v>
      </c>
      <c r="C163" t="s">
        <v>230</v>
      </c>
      <c r="D163" s="2" t="s">
        <v>301</v>
      </c>
      <c r="E163" t="str">
        <f t="shared" si="4"/>
        <v>[SFR_DETACHED_AVG_DOLLAR_PER_SQFT_RESALE]</v>
      </c>
      <c r="F163" s="2" t="s">
        <v>302</v>
      </c>
      <c r="J163" t="str">
        <f t="shared" si="5"/>
        <v>UPDATE dbo.NationWideHomeSalesReport_FullHist  SET [SFR_DETACHED_AVG_DOLLAR_PER_SQFT_RESALE] = REPLACE([SFR_DETACHED_AVG_DOLLAR_PER_SQFT_RESALE], ',', '');</v>
      </c>
    </row>
    <row r="164" spans="2:10">
      <c r="B164" s="1" t="s">
        <v>68</v>
      </c>
      <c r="C164" t="s">
        <v>231</v>
      </c>
      <c r="D164" s="2" t="s">
        <v>301</v>
      </c>
      <c r="E164" t="str">
        <f t="shared" si="4"/>
        <v>[SFR_DETACHED_AVG_DOLLAR_PER_SQFT_NEW_CONST]</v>
      </c>
      <c r="F164" s="2" t="s">
        <v>302</v>
      </c>
      <c r="J164" t="str">
        <f t="shared" si="5"/>
        <v>UPDATE dbo.NationWideHomeSalesReport_FullHist  SET [SFR_DETACHED_AVG_DOLLAR_PER_SQFT_NEW_CONST] = REPLACE([SFR_DETACHED_AVG_DOLLAR_PER_SQFT_NEW_CONST], ',', '');</v>
      </c>
    </row>
    <row r="165" spans="2:10">
      <c r="B165" s="1" t="s">
        <v>68</v>
      </c>
      <c r="C165" t="s">
        <v>232</v>
      </c>
      <c r="D165" s="2" t="s">
        <v>301</v>
      </c>
      <c r="E165" t="str">
        <f t="shared" si="4"/>
        <v>[SFR_DETACHED_MED_SQFT]</v>
      </c>
      <c r="F165" s="2" t="s">
        <v>302</v>
      </c>
      <c r="J165" t="str">
        <f t="shared" si="5"/>
        <v>UPDATE dbo.NationWideHomeSalesReport_FullHist  SET [SFR_DETACHED_MED_SQFT] = REPLACE([SFR_DETACHED_MED_SQFT], ',', '');</v>
      </c>
    </row>
    <row r="166" spans="2:10">
      <c r="B166" s="1" t="s">
        <v>68</v>
      </c>
      <c r="C166" t="s">
        <v>233</v>
      </c>
      <c r="D166" s="2" t="s">
        <v>301</v>
      </c>
      <c r="E166" t="str">
        <f t="shared" si="4"/>
        <v>[SFR_DETACHED_MED_SQFT_RESALE]</v>
      </c>
      <c r="F166" s="2" t="s">
        <v>302</v>
      </c>
      <c r="J166" t="str">
        <f t="shared" si="5"/>
        <v>UPDATE dbo.NationWideHomeSalesReport_FullHist  SET [SFR_DETACHED_MED_SQFT_RESALE] = REPLACE([SFR_DETACHED_MED_SQFT_RESALE], ',', '');</v>
      </c>
    </row>
    <row r="167" spans="2:10">
      <c r="B167" s="1" t="s">
        <v>68</v>
      </c>
      <c r="C167" t="s">
        <v>234</v>
      </c>
      <c r="D167" s="2" t="s">
        <v>301</v>
      </c>
      <c r="E167" t="str">
        <f t="shared" si="4"/>
        <v>[SFR_DETACHED_MED_SQFT_NEW_CONST]</v>
      </c>
      <c r="F167" s="2" t="s">
        <v>302</v>
      </c>
      <c r="J167" t="str">
        <f t="shared" si="5"/>
        <v>UPDATE dbo.NationWideHomeSalesReport_FullHist  SET [SFR_DETACHED_MED_SQFT_NEW_CONST] = REPLACE([SFR_DETACHED_MED_SQFT_NEW_CONST], ',', '');</v>
      </c>
    </row>
    <row r="168" spans="2:10">
      <c r="B168" s="1" t="s">
        <v>68</v>
      </c>
      <c r="C168" t="s">
        <v>235</v>
      </c>
      <c r="D168" s="2" t="s">
        <v>301</v>
      </c>
      <c r="E168" t="str">
        <f t="shared" si="4"/>
        <v>[SFR_DETACHED_MED_DOLLAR_PER_SQFT]</v>
      </c>
      <c r="F168" s="2" t="s">
        <v>302</v>
      </c>
      <c r="J168" t="str">
        <f t="shared" si="5"/>
        <v>UPDATE dbo.NationWideHomeSalesReport_FullHist  SET [SFR_DETACHED_MED_DOLLAR_PER_SQFT] = REPLACE([SFR_DETACHED_MED_DOLLAR_PER_SQFT], ',', '');</v>
      </c>
    </row>
    <row r="169" spans="2:10">
      <c r="B169" s="1" t="s">
        <v>68</v>
      </c>
      <c r="C169" t="s">
        <v>236</v>
      </c>
      <c r="D169" s="2" t="s">
        <v>301</v>
      </c>
      <c r="E169" t="str">
        <f t="shared" si="4"/>
        <v>[SFR_DETACHED_MED_DOLLAR_PER_SQFT_RESALE]</v>
      </c>
      <c r="F169" s="2" t="s">
        <v>302</v>
      </c>
      <c r="J169" t="str">
        <f t="shared" si="5"/>
        <v>UPDATE dbo.NationWideHomeSalesReport_FullHist  SET [SFR_DETACHED_MED_DOLLAR_PER_SQFT_RESALE] = REPLACE([SFR_DETACHED_MED_DOLLAR_PER_SQFT_RESALE], ',', '');</v>
      </c>
    </row>
    <row r="170" spans="2:10">
      <c r="B170" s="1" t="s">
        <v>68</v>
      </c>
      <c r="C170" t="s">
        <v>237</v>
      </c>
      <c r="D170" s="2" t="s">
        <v>301</v>
      </c>
      <c r="E170" t="str">
        <f t="shared" si="4"/>
        <v>[SFR_DETACHED_MED_DOLLAR_PER_SQFT_NEW_CONST]</v>
      </c>
      <c r="F170" s="2" t="s">
        <v>302</v>
      </c>
      <c r="J170" t="str">
        <f t="shared" si="5"/>
        <v>UPDATE dbo.NationWideHomeSalesReport_FullHist  SET [SFR_DETACHED_MED_DOLLAR_PER_SQFT_NEW_CONST] = REPLACE([SFR_DETACHED_MED_DOLLAR_PER_SQFT_NEW_CONST], ',', '');</v>
      </c>
    </row>
    <row r="171" spans="2:10">
      <c r="B171" s="1" t="s">
        <v>68</v>
      </c>
      <c r="C171" t="s">
        <v>238</v>
      </c>
      <c r="D171" s="2" t="s">
        <v>301</v>
      </c>
      <c r="E171" t="str">
        <f t="shared" si="4"/>
        <v>[SFR_DETACHED_12_MONTH_PRICE_CHANGE]</v>
      </c>
      <c r="F171" s="2" t="s">
        <v>302</v>
      </c>
      <c r="J171" t="str">
        <f t="shared" si="5"/>
        <v>UPDATE dbo.NationWideHomeSalesReport_FullHist  SET [SFR_DETACHED_12_MONTH_PRICE_CHANGE] = REPLACE([SFR_DETACHED_12_MONTH_PRICE_CHANGE], ',', '');</v>
      </c>
    </row>
    <row r="172" spans="2:10">
      <c r="B172" s="1" t="s">
        <v>68</v>
      </c>
      <c r="C172" t="s">
        <v>239</v>
      </c>
      <c r="D172" s="2" t="s">
        <v>301</v>
      </c>
      <c r="E172" t="str">
        <f t="shared" si="4"/>
        <v>[SFR_DETACHED_12_MONTH_PRICE_CHANGE_RESALE]</v>
      </c>
      <c r="F172" s="2" t="s">
        <v>302</v>
      </c>
      <c r="J172" t="str">
        <f t="shared" si="5"/>
        <v>UPDATE dbo.NationWideHomeSalesReport_FullHist  SET [SFR_DETACHED_12_MONTH_PRICE_CHANGE_RESALE] = REPLACE([SFR_DETACHED_12_MONTH_PRICE_CHANGE_RESALE], ',', '');</v>
      </c>
    </row>
    <row r="173" spans="2:10">
      <c r="B173" s="1" t="s">
        <v>68</v>
      </c>
      <c r="C173" t="s">
        <v>240</v>
      </c>
      <c r="D173" s="2" t="s">
        <v>301</v>
      </c>
      <c r="E173" t="str">
        <f t="shared" si="4"/>
        <v>[SFR_DETACHED_12_MONTH_PRICE_CHANGE_NEW_CONST]</v>
      </c>
      <c r="F173" s="2" t="s">
        <v>302</v>
      </c>
      <c r="J173" t="str">
        <f t="shared" si="5"/>
        <v>UPDATE dbo.NationWideHomeSalesReport_FullHist  SET [SFR_DETACHED_12_MONTH_PRICE_CHANGE_NEW_CONST] = REPLACE([SFR_DETACHED_12_MONTH_PRICE_CHANGE_NEW_CONST], ',', '');</v>
      </c>
    </row>
    <row r="174" spans="2:10">
      <c r="B174" s="1" t="s">
        <v>68</v>
      </c>
      <c r="C174" t="s">
        <v>241</v>
      </c>
      <c r="D174" s="2" t="s">
        <v>301</v>
      </c>
      <c r="E174" t="str">
        <f t="shared" si="4"/>
        <v>[SFR_DETACHED_OWNER_OCCUPIED_SALES]</v>
      </c>
      <c r="F174" s="2" t="s">
        <v>302</v>
      </c>
      <c r="J174" t="str">
        <f t="shared" si="5"/>
        <v>UPDATE dbo.NationWideHomeSalesReport_FullHist  SET [SFR_DETACHED_OWNER_OCCUPIED_SALES] = REPLACE([SFR_DETACHED_OWNER_OCCUPIED_SALES], ',', '');</v>
      </c>
    </row>
    <row r="175" spans="2:10">
      <c r="B175" s="1" t="s">
        <v>68</v>
      </c>
      <c r="C175" t="s">
        <v>242</v>
      </c>
      <c r="D175" s="2" t="s">
        <v>301</v>
      </c>
      <c r="E175" t="str">
        <f t="shared" si="4"/>
        <v>[SFR_DETACHED_NON_OWNER_OCCUPIED_SALES]</v>
      </c>
      <c r="F175" s="2" t="s">
        <v>302</v>
      </c>
      <c r="J175" t="str">
        <f t="shared" si="5"/>
        <v>UPDATE dbo.NationWideHomeSalesReport_FullHist  SET [SFR_DETACHED_NON_OWNER_OCCUPIED_SALES] = REPLACE([SFR_DETACHED_NON_OWNER_OCCUPIED_SALES], ',', '');</v>
      </c>
    </row>
    <row r="176" spans="2:10">
      <c r="B176" s="1" t="s">
        <v>68</v>
      </c>
      <c r="C176" t="s">
        <v>243</v>
      </c>
      <c r="D176" s="2" t="s">
        <v>301</v>
      </c>
      <c r="E176" t="str">
        <f t="shared" si="4"/>
        <v>[SFR_DETACHED_OWNER_OCCUPIED_AVG_SALES_PRICE]</v>
      </c>
      <c r="F176" s="2" t="s">
        <v>302</v>
      </c>
      <c r="J176" t="str">
        <f t="shared" si="5"/>
        <v>UPDATE dbo.NationWideHomeSalesReport_FullHist  SET [SFR_DETACHED_OWNER_OCCUPIED_AVG_SALES_PRICE] = REPLACE([SFR_DETACHED_OWNER_OCCUPIED_AVG_SALES_PRICE], ',', '');</v>
      </c>
    </row>
    <row r="177" spans="2:10">
      <c r="B177" s="1" t="s">
        <v>68</v>
      </c>
      <c r="C177" t="s">
        <v>244</v>
      </c>
      <c r="D177" s="2" t="s">
        <v>301</v>
      </c>
      <c r="E177" t="str">
        <f t="shared" si="4"/>
        <v>[SFR_DETACHED_NON_OWNER_OCCUPIED_AVG_SALES_PRICE]</v>
      </c>
      <c r="F177" s="2" t="s">
        <v>302</v>
      </c>
      <c r="J177" t="str">
        <f t="shared" si="5"/>
        <v>UPDATE dbo.NationWideHomeSalesReport_FullHist  SET [SFR_DETACHED_NON_OWNER_OCCUPIED_AVG_SALES_PRICE] = REPLACE([SFR_DETACHED_NON_OWNER_OCCUPIED_AVG_SALES_PRICE], ',', '');</v>
      </c>
    </row>
    <row r="178" spans="2:10">
      <c r="B178" s="1" t="s">
        <v>68</v>
      </c>
      <c r="C178" t="s">
        <v>245</v>
      </c>
      <c r="D178" s="2" t="s">
        <v>301</v>
      </c>
      <c r="E178" t="str">
        <f t="shared" si="4"/>
        <v>[SFR_DETACHED_OWNER_OCCUPIED_MED_SALES_PRICE]</v>
      </c>
      <c r="F178" s="2" t="s">
        <v>302</v>
      </c>
      <c r="J178" t="str">
        <f t="shared" si="5"/>
        <v>UPDATE dbo.NationWideHomeSalesReport_FullHist  SET [SFR_DETACHED_OWNER_OCCUPIED_MED_SALES_PRICE] = REPLACE([SFR_DETACHED_OWNER_OCCUPIED_MED_SALES_PRICE], ',', '');</v>
      </c>
    </row>
    <row r="179" spans="2:10">
      <c r="B179" s="1" t="s">
        <v>68</v>
      </c>
      <c r="C179" t="s">
        <v>246</v>
      </c>
      <c r="D179" s="2" t="s">
        <v>301</v>
      </c>
      <c r="E179" t="str">
        <f t="shared" si="4"/>
        <v>[SFR_DETACHED_NON_OWNER_OCCUPIED_MED_SALES_PRICE]</v>
      </c>
      <c r="F179" s="2" t="s">
        <v>302</v>
      </c>
      <c r="J179" t="str">
        <f t="shared" si="5"/>
        <v>UPDATE dbo.NationWideHomeSalesReport_FullHist  SET [SFR_DETACHED_NON_OWNER_OCCUPIED_MED_SALES_PRICE] = REPLACE([SFR_DETACHED_NON_OWNER_OCCUPIED_MED_SALES_PRICE], ',', '');</v>
      </c>
    </row>
    <row r="180" spans="2:10">
      <c r="B180" s="1" t="s">
        <v>68</v>
      </c>
      <c r="C180" t="s">
        <v>247</v>
      </c>
      <c r="D180" s="2" t="s">
        <v>301</v>
      </c>
      <c r="E180" t="str">
        <f t="shared" si="4"/>
        <v>[SFR_DETACHED_SALES_BY_PRICE_RANGE_Under $250K]</v>
      </c>
      <c r="F180" s="2" t="s">
        <v>302</v>
      </c>
      <c r="J180" t="str">
        <f t="shared" si="5"/>
        <v>UPDATE dbo.NationWideHomeSalesReport_FullHist  SET [SFR_DETACHED_SALES_BY_PRICE_RANGE_Under $250K] = REPLACE([SFR_DETACHED_SALES_BY_PRICE_RANGE_Under $250K], ',', '');</v>
      </c>
    </row>
    <row r="181" spans="2:10">
      <c r="B181" s="1" t="s">
        <v>68</v>
      </c>
      <c r="C181" t="s">
        <v>248</v>
      </c>
      <c r="D181" s="2" t="s">
        <v>301</v>
      </c>
      <c r="E181" t="str">
        <f t="shared" si="4"/>
        <v>[SFR_DETACHED_SALES_BY_PRICE_RANGE_$250K-$500K]</v>
      </c>
      <c r="F181" s="2" t="s">
        <v>302</v>
      </c>
      <c r="J181" t="str">
        <f t="shared" si="5"/>
        <v>UPDATE dbo.NationWideHomeSalesReport_FullHist  SET [SFR_DETACHED_SALES_BY_PRICE_RANGE_$250K-$500K] = REPLACE([SFR_DETACHED_SALES_BY_PRICE_RANGE_$250K-$500K], ',', '');</v>
      </c>
    </row>
    <row r="182" spans="2:10">
      <c r="B182" s="1" t="s">
        <v>68</v>
      </c>
      <c r="C182" t="s">
        <v>249</v>
      </c>
      <c r="D182" s="2" t="s">
        <v>301</v>
      </c>
      <c r="E182" t="str">
        <f t="shared" si="4"/>
        <v>[SFR_DETACHED_SALES_BY_PRICE_RANGE_$500K-$750K]</v>
      </c>
      <c r="F182" s="2" t="s">
        <v>302</v>
      </c>
      <c r="J182" t="str">
        <f t="shared" si="5"/>
        <v>UPDATE dbo.NationWideHomeSalesReport_FullHist  SET [SFR_DETACHED_SALES_BY_PRICE_RANGE_$500K-$750K] = REPLACE([SFR_DETACHED_SALES_BY_PRICE_RANGE_$500K-$750K], ',', '');</v>
      </c>
    </row>
    <row r="183" spans="2:10">
      <c r="B183" s="1" t="s">
        <v>68</v>
      </c>
      <c r="C183" t="s">
        <v>250</v>
      </c>
      <c r="D183" s="2" t="s">
        <v>301</v>
      </c>
      <c r="E183" t="str">
        <f t="shared" si="4"/>
        <v>[SFR_DETACHED_SALES_BY_PRICE_RANGE_$750K-$1M]</v>
      </c>
      <c r="F183" s="2" t="s">
        <v>302</v>
      </c>
      <c r="J183" t="str">
        <f t="shared" si="5"/>
        <v>UPDATE dbo.NationWideHomeSalesReport_FullHist  SET [SFR_DETACHED_SALES_BY_PRICE_RANGE_$750K-$1M] = REPLACE([SFR_DETACHED_SALES_BY_PRICE_RANGE_$750K-$1M], ',', '');</v>
      </c>
    </row>
    <row r="184" spans="2:10">
      <c r="B184" s="1" t="s">
        <v>68</v>
      </c>
      <c r="C184" t="s">
        <v>251</v>
      </c>
      <c r="D184" s="2" t="s">
        <v>301</v>
      </c>
      <c r="E184" t="str">
        <f t="shared" si="4"/>
        <v>[SFR_DETACHED_SALES_BY_PRICE_RANGE_$1M-$1 5M]</v>
      </c>
      <c r="F184" s="2" t="s">
        <v>302</v>
      </c>
      <c r="J184" t="str">
        <f t="shared" si="5"/>
        <v>UPDATE dbo.NationWideHomeSalesReport_FullHist  SET [SFR_DETACHED_SALES_BY_PRICE_RANGE_$1M-$1 5M] = REPLACE([SFR_DETACHED_SALES_BY_PRICE_RANGE_$1M-$1 5M], ',', '');</v>
      </c>
    </row>
    <row r="185" spans="2:10">
      <c r="B185" s="1" t="s">
        <v>68</v>
      </c>
      <c r="C185" t="s">
        <v>252</v>
      </c>
      <c r="D185" s="2" t="s">
        <v>301</v>
      </c>
      <c r="E185" t="str">
        <f t="shared" si="4"/>
        <v>[SFR_DETACHED_SALES_BY_PRICE_RANGE_$1 5M-$2 0M]</v>
      </c>
      <c r="F185" s="2" t="s">
        <v>302</v>
      </c>
      <c r="J185" t="str">
        <f t="shared" si="5"/>
        <v>UPDATE dbo.NationWideHomeSalesReport_FullHist  SET [SFR_DETACHED_SALES_BY_PRICE_RANGE_$1 5M-$2 0M] = REPLACE([SFR_DETACHED_SALES_BY_PRICE_RANGE_$1 5M-$2 0M], ',', '');</v>
      </c>
    </row>
    <row r="186" spans="2:10">
      <c r="B186" s="1" t="s">
        <v>68</v>
      </c>
      <c r="C186" t="s">
        <v>253</v>
      </c>
      <c r="D186" s="2" t="s">
        <v>301</v>
      </c>
      <c r="E186" t="str">
        <f t="shared" si="4"/>
        <v>[SFR_DETACHED_SALES_BY_PRICE_RANGE_$2M-$3M]</v>
      </c>
      <c r="F186" s="2" t="s">
        <v>302</v>
      </c>
      <c r="J186" t="str">
        <f t="shared" si="5"/>
        <v>UPDATE dbo.NationWideHomeSalesReport_FullHist  SET [SFR_DETACHED_SALES_BY_PRICE_RANGE_$2M-$3M] = REPLACE([SFR_DETACHED_SALES_BY_PRICE_RANGE_$2M-$3M], ',', '');</v>
      </c>
    </row>
    <row r="187" spans="2:10">
      <c r="B187" s="1" t="s">
        <v>68</v>
      </c>
      <c r="C187" t="s">
        <v>254</v>
      </c>
      <c r="D187" s="2" t="s">
        <v>301</v>
      </c>
      <c r="E187" t="str">
        <f t="shared" si="4"/>
        <v>[SFR_DETACHED_SALES_BY_PRICE_RANGE_$3M-$5M]</v>
      </c>
      <c r="F187" s="2" t="s">
        <v>302</v>
      </c>
      <c r="J187" t="str">
        <f t="shared" si="5"/>
        <v>UPDATE dbo.NationWideHomeSalesReport_FullHist  SET [SFR_DETACHED_SALES_BY_PRICE_RANGE_$3M-$5M] = REPLACE([SFR_DETACHED_SALES_BY_PRICE_RANGE_$3M-$5M], ',', '');</v>
      </c>
    </row>
    <row r="188" spans="2:10">
      <c r="B188" s="1" t="s">
        <v>68</v>
      </c>
      <c r="C188" t="s">
        <v>255</v>
      </c>
      <c r="D188" s="2" t="s">
        <v>301</v>
      </c>
      <c r="E188" t="str">
        <f t="shared" si="4"/>
        <v>[SFR_DETACHED_SALES_BY_PRICE_RANGE_Over $5M]</v>
      </c>
      <c r="F188" s="2" t="s">
        <v>302</v>
      </c>
      <c r="J188" t="str">
        <f t="shared" si="5"/>
        <v>UPDATE dbo.NationWideHomeSalesReport_FullHist  SET [SFR_DETACHED_SALES_BY_PRICE_RANGE_Over $5M] = REPLACE([SFR_DETACHED_SALES_BY_PRICE_RANGE_Over $5M], ',', '');</v>
      </c>
    </row>
    <row r="189" spans="2:10">
      <c r="B189" s="1" t="s">
        <v>68</v>
      </c>
      <c r="C189" t="s">
        <v>256</v>
      </c>
      <c r="D189" s="2" t="s">
        <v>301</v>
      </c>
      <c r="E189" t="str">
        <f t="shared" si="4"/>
        <v>[MULTI_FAMILY_TOTAL_SALES]</v>
      </c>
      <c r="F189" s="2" t="s">
        <v>302</v>
      </c>
      <c r="J189" t="str">
        <f t="shared" si="5"/>
        <v>UPDATE dbo.NationWideHomeSalesReport_FullHist  SET [MULTI_FAMILY_TOTAL_SALES] = REPLACE([MULTI_FAMILY_TOTAL_SALES], ',', '');</v>
      </c>
    </row>
    <row r="190" spans="2:10">
      <c r="B190" s="1" t="s">
        <v>68</v>
      </c>
      <c r="C190" t="s">
        <v>257</v>
      </c>
      <c r="D190" s="2" t="s">
        <v>301</v>
      </c>
      <c r="E190" t="str">
        <f t="shared" si="4"/>
        <v>[MULTI_FAMILY_TOTAL_SALES_RESALE]</v>
      </c>
      <c r="F190" s="2" t="s">
        <v>302</v>
      </c>
      <c r="J190" t="str">
        <f t="shared" si="5"/>
        <v>UPDATE dbo.NationWideHomeSalesReport_FullHist  SET [MULTI_FAMILY_TOTAL_SALES_RESALE] = REPLACE([MULTI_FAMILY_TOTAL_SALES_RESALE], ',', '');</v>
      </c>
    </row>
    <row r="191" spans="2:10">
      <c r="B191" s="1" t="s">
        <v>68</v>
      </c>
      <c r="C191" t="s">
        <v>258</v>
      </c>
      <c r="D191" s="2" t="s">
        <v>301</v>
      </c>
      <c r="E191" t="str">
        <f t="shared" si="4"/>
        <v>[MULTI_FAMILY_TOTAL_SALES_NEW_CONST]</v>
      </c>
      <c r="F191" s="2" t="s">
        <v>302</v>
      </c>
      <c r="J191" t="str">
        <f t="shared" si="5"/>
        <v>UPDATE dbo.NationWideHomeSalesReport_FullHist  SET [MULTI_FAMILY_TOTAL_SALES_NEW_CONST] = REPLACE([MULTI_FAMILY_TOTAL_SALES_NEW_CONST], ',', '');</v>
      </c>
    </row>
    <row r="192" spans="2:10">
      <c r="B192" s="1" t="s">
        <v>68</v>
      </c>
      <c r="C192" t="s">
        <v>259</v>
      </c>
      <c r="D192" s="2" t="s">
        <v>301</v>
      </c>
      <c r="E192" t="str">
        <f t="shared" si="4"/>
        <v>[MULTI_FAMILY_AVG_SALES_PRICE]</v>
      </c>
      <c r="F192" s="2" t="s">
        <v>302</v>
      </c>
      <c r="J192" t="str">
        <f t="shared" si="5"/>
        <v>UPDATE dbo.NationWideHomeSalesReport_FullHist  SET [MULTI_FAMILY_AVG_SALES_PRICE] = REPLACE([MULTI_FAMILY_AVG_SALES_PRICE], ',', '');</v>
      </c>
    </row>
    <row r="193" spans="2:10">
      <c r="B193" s="1" t="s">
        <v>68</v>
      </c>
      <c r="C193" t="s">
        <v>260</v>
      </c>
      <c r="D193" s="2" t="s">
        <v>301</v>
      </c>
      <c r="E193" t="str">
        <f t="shared" si="4"/>
        <v>[MULTI_FAMILY_AVG_SALES_PRICE_RESALE]</v>
      </c>
      <c r="F193" s="2" t="s">
        <v>302</v>
      </c>
      <c r="J193" t="str">
        <f t="shared" si="5"/>
        <v>UPDATE dbo.NationWideHomeSalesReport_FullHist  SET [MULTI_FAMILY_AVG_SALES_PRICE_RESALE] = REPLACE([MULTI_FAMILY_AVG_SALES_PRICE_RESALE], ',', '');</v>
      </c>
    </row>
    <row r="194" spans="2:10">
      <c r="B194" s="1" t="s">
        <v>68</v>
      </c>
      <c r="C194" t="s">
        <v>261</v>
      </c>
      <c r="D194" s="2" t="s">
        <v>301</v>
      </c>
      <c r="E194" t="str">
        <f t="shared" si="4"/>
        <v>[MULTI_FAMILY_AVG_SALES_PRICE_NEW_CONST]</v>
      </c>
      <c r="F194" s="2" t="s">
        <v>302</v>
      </c>
      <c r="J194" t="str">
        <f t="shared" si="5"/>
        <v>UPDATE dbo.NationWideHomeSalesReport_FullHist  SET [MULTI_FAMILY_AVG_SALES_PRICE_NEW_CONST] = REPLACE([MULTI_FAMILY_AVG_SALES_PRICE_NEW_CONST], ',', '');</v>
      </c>
    </row>
    <row r="195" spans="2:10">
      <c r="B195" s="1" t="s">
        <v>68</v>
      </c>
      <c r="C195" t="s">
        <v>262</v>
      </c>
      <c r="D195" s="2" t="s">
        <v>301</v>
      </c>
      <c r="E195" t="str">
        <f t="shared" ref="E195:E233" si="6">C195</f>
        <v>[MULTI_FAMILY_MED_SALES_PRICE]</v>
      </c>
      <c r="F195" s="2" t="s">
        <v>302</v>
      </c>
      <c r="J195" t="str">
        <f t="shared" ref="J195:J233" si="7">B195&amp;C195&amp;D195&amp;E195&amp;F195&amp;G195&amp;H195</f>
        <v>UPDATE dbo.NationWideHomeSalesReport_FullHist  SET [MULTI_FAMILY_MED_SALES_PRICE] = REPLACE([MULTI_FAMILY_MED_SALES_PRICE], ',', '');</v>
      </c>
    </row>
    <row r="196" spans="2:10">
      <c r="B196" s="1" t="s">
        <v>68</v>
      </c>
      <c r="C196" t="s">
        <v>263</v>
      </c>
      <c r="D196" s="2" t="s">
        <v>301</v>
      </c>
      <c r="E196" t="str">
        <f t="shared" si="6"/>
        <v>[MULTI_FAMILY_MED_SALES_PRICE_RESALE]</v>
      </c>
      <c r="F196" s="2" t="s">
        <v>302</v>
      </c>
      <c r="J196" t="str">
        <f t="shared" si="7"/>
        <v>UPDATE dbo.NationWideHomeSalesReport_FullHist  SET [MULTI_FAMILY_MED_SALES_PRICE_RESALE] = REPLACE([MULTI_FAMILY_MED_SALES_PRICE_RESALE], ',', '');</v>
      </c>
    </row>
    <row r="197" spans="2:10">
      <c r="B197" s="1" t="s">
        <v>68</v>
      </c>
      <c r="C197" t="s">
        <v>264</v>
      </c>
      <c r="D197" s="2" t="s">
        <v>301</v>
      </c>
      <c r="E197" t="str">
        <f t="shared" si="6"/>
        <v>[MULTI_FAMILY_MED_SALES_PRICE_NEW_CONST]</v>
      </c>
      <c r="F197" s="2" t="s">
        <v>302</v>
      </c>
      <c r="J197" t="str">
        <f t="shared" si="7"/>
        <v>UPDATE dbo.NationWideHomeSalesReport_FullHist  SET [MULTI_FAMILY_MED_SALES_PRICE_NEW_CONST] = REPLACE([MULTI_FAMILY_MED_SALES_PRICE_NEW_CONST], ',', '');</v>
      </c>
    </row>
    <row r="198" spans="2:10">
      <c r="B198" s="1" t="s">
        <v>68</v>
      </c>
      <c r="C198" t="s">
        <v>265</v>
      </c>
      <c r="D198" s="2" t="s">
        <v>301</v>
      </c>
      <c r="E198" t="str">
        <f t="shared" si="6"/>
        <v>[MULTI_FAMILY_UPPER_QUARTILE_SALES_PRICE]</v>
      </c>
      <c r="F198" s="2" t="s">
        <v>302</v>
      </c>
      <c r="J198" t="str">
        <f t="shared" si="7"/>
        <v>UPDATE dbo.NationWideHomeSalesReport_FullHist  SET [MULTI_FAMILY_UPPER_QUARTILE_SALES_PRICE] = REPLACE([MULTI_FAMILY_UPPER_QUARTILE_SALES_PRICE], ',', '');</v>
      </c>
    </row>
    <row r="199" spans="2:10">
      <c r="B199" s="1" t="s">
        <v>68</v>
      </c>
      <c r="C199" t="s">
        <v>266</v>
      </c>
      <c r="D199" s="2" t="s">
        <v>301</v>
      </c>
      <c r="E199" t="str">
        <f t="shared" si="6"/>
        <v>[MULTI_FAMILY_UPPER_QUARTILE_SALES_PRICE_RESALE]</v>
      </c>
      <c r="F199" s="2" t="s">
        <v>302</v>
      </c>
      <c r="J199" t="str">
        <f t="shared" si="7"/>
        <v>UPDATE dbo.NationWideHomeSalesReport_FullHist  SET [MULTI_FAMILY_UPPER_QUARTILE_SALES_PRICE_RESALE] = REPLACE([MULTI_FAMILY_UPPER_QUARTILE_SALES_PRICE_RESALE], ',', '');</v>
      </c>
    </row>
    <row r="200" spans="2:10">
      <c r="B200" s="1" t="s">
        <v>68</v>
      </c>
      <c r="C200" t="s">
        <v>267</v>
      </c>
      <c r="D200" s="2" t="s">
        <v>301</v>
      </c>
      <c r="E200" t="str">
        <f t="shared" si="6"/>
        <v>[MULTI_FAMILY_UPPER_QUARTILE_SALES_PRICE_NEW_CONST]</v>
      </c>
      <c r="F200" s="2" t="s">
        <v>302</v>
      </c>
      <c r="J200" t="str">
        <f t="shared" si="7"/>
        <v>UPDATE dbo.NationWideHomeSalesReport_FullHist  SET [MULTI_FAMILY_UPPER_QUARTILE_SALES_PRICE_NEW_CONST] = REPLACE([MULTI_FAMILY_UPPER_QUARTILE_SALES_PRICE_NEW_CONST], ',', '');</v>
      </c>
    </row>
    <row r="201" spans="2:10">
      <c r="B201" s="1" t="s">
        <v>68</v>
      </c>
      <c r="C201" t="s">
        <v>268</v>
      </c>
      <c r="D201" s="2" t="s">
        <v>301</v>
      </c>
      <c r="E201" t="str">
        <f t="shared" si="6"/>
        <v>[MULTI_FAMILY_LOWER_QUARTILE_SALES_PRICE]</v>
      </c>
      <c r="F201" s="2" t="s">
        <v>302</v>
      </c>
      <c r="J201" t="str">
        <f t="shared" si="7"/>
        <v>UPDATE dbo.NationWideHomeSalesReport_FullHist  SET [MULTI_FAMILY_LOWER_QUARTILE_SALES_PRICE] = REPLACE([MULTI_FAMILY_LOWER_QUARTILE_SALES_PRICE], ',', '');</v>
      </c>
    </row>
    <row r="202" spans="2:10">
      <c r="B202" s="1" t="s">
        <v>68</v>
      </c>
      <c r="C202" t="s">
        <v>269</v>
      </c>
      <c r="D202" s="2" t="s">
        <v>301</v>
      </c>
      <c r="E202" t="str">
        <f t="shared" si="6"/>
        <v>[MULTI_FAMILY_LOWER_QUARTILE_SALES_PRICE_RESALE]</v>
      </c>
      <c r="F202" s="2" t="s">
        <v>302</v>
      </c>
      <c r="J202" t="str">
        <f t="shared" si="7"/>
        <v>UPDATE dbo.NationWideHomeSalesReport_FullHist  SET [MULTI_FAMILY_LOWER_QUARTILE_SALES_PRICE_RESALE] = REPLACE([MULTI_FAMILY_LOWER_QUARTILE_SALES_PRICE_RESALE], ',', '');</v>
      </c>
    </row>
    <row r="203" spans="2:10">
      <c r="B203" s="1" t="s">
        <v>68</v>
      </c>
      <c r="C203" t="s">
        <v>270</v>
      </c>
      <c r="D203" s="2" t="s">
        <v>301</v>
      </c>
      <c r="E203" t="str">
        <f t="shared" si="6"/>
        <v>[MULTI_FAMILY_LOWER_QUARTILE_SALES_PRICE_NEW_CONST]</v>
      </c>
      <c r="F203" s="2" t="s">
        <v>302</v>
      </c>
      <c r="J203" t="str">
        <f t="shared" si="7"/>
        <v>UPDATE dbo.NationWideHomeSalesReport_FullHist  SET [MULTI_FAMILY_LOWER_QUARTILE_SALES_PRICE_NEW_CONST] = REPLACE([MULTI_FAMILY_LOWER_QUARTILE_SALES_PRICE_NEW_CONST], ',', '');</v>
      </c>
    </row>
    <row r="204" spans="2:10">
      <c r="B204" s="1" t="s">
        <v>68</v>
      </c>
      <c r="C204" t="s">
        <v>271</v>
      </c>
      <c r="D204" s="2" t="s">
        <v>301</v>
      </c>
      <c r="E204" t="str">
        <f t="shared" si="6"/>
        <v>[MULTI_FAMILY_AVG_SQFT]</v>
      </c>
      <c r="F204" s="2" t="s">
        <v>302</v>
      </c>
      <c r="J204" t="str">
        <f t="shared" si="7"/>
        <v>UPDATE dbo.NationWideHomeSalesReport_FullHist  SET [MULTI_FAMILY_AVG_SQFT] = REPLACE([MULTI_FAMILY_AVG_SQFT], ',', '');</v>
      </c>
    </row>
    <row r="205" spans="2:10">
      <c r="B205" s="1" t="s">
        <v>68</v>
      </c>
      <c r="C205" t="s">
        <v>272</v>
      </c>
      <c r="D205" s="2" t="s">
        <v>301</v>
      </c>
      <c r="E205" t="str">
        <f t="shared" si="6"/>
        <v>[MULTI_FAMILY_AVG_SQFT_RESALE]</v>
      </c>
      <c r="F205" s="2" t="s">
        <v>302</v>
      </c>
      <c r="J205" t="str">
        <f t="shared" si="7"/>
        <v>UPDATE dbo.NationWideHomeSalesReport_FullHist  SET [MULTI_FAMILY_AVG_SQFT_RESALE] = REPLACE([MULTI_FAMILY_AVG_SQFT_RESALE], ',', '');</v>
      </c>
    </row>
    <row r="206" spans="2:10">
      <c r="B206" s="1" t="s">
        <v>68</v>
      </c>
      <c r="C206" t="s">
        <v>273</v>
      </c>
      <c r="D206" s="2" t="s">
        <v>301</v>
      </c>
      <c r="E206" t="str">
        <f t="shared" si="6"/>
        <v>[MULTI_FAMILY_AVG_SQFT_NEW_CONST]</v>
      </c>
      <c r="F206" s="2" t="s">
        <v>302</v>
      </c>
      <c r="J206" t="str">
        <f t="shared" si="7"/>
        <v>UPDATE dbo.NationWideHomeSalesReport_FullHist  SET [MULTI_FAMILY_AVG_SQFT_NEW_CONST] = REPLACE([MULTI_FAMILY_AVG_SQFT_NEW_CONST], ',', '');</v>
      </c>
    </row>
    <row r="207" spans="2:10">
      <c r="B207" s="1" t="s">
        <v>68</v>
      </c>
      <c r="C207" t="s">
        <v>274</v>
      </c>
      <c r="D207" s="2" t="s">
        <v>301</v>
      </c>
      <c r="E207" t="str">
        <f t="shared" si="6"/>
        <v>[MULTI_FAMILY_AVG_DOLLAR_PER_SQFT]</v>
      </c>
      <c r="F207" s="2" t="s">
        <v>302</v>
      </c>
      <c r="J207" t="str">
        <f t="shared" si="7"/>
        <v>UPDATE dbo.NationWideHomeSalesReport_FullHist  SET [MULTI_FAMILY_AVG_DOLLAR_PER_SQFT] = REPLACE([MULTI_FAMILY_AVG_DOLLAR_PER_SQFT], ',', '');</v>
      </c>
    </row>
    <row r="208" spans="2:10">
      <c r="B208" s="1" t="s">
        <v>68</v>
      </c>
      <c r="C208" t="s">
        <v>275</v>
      </c>
      <c r="D208" s="2" t="s">
        <v>301</v>
      </c>
      <c r="E208" t="str">
        <f t="shared" si="6"/>
        <v>[MULTI_FAMILY_AVG_DOLLAR_PER_SQFT_RESALE]</v>
      </c>
      <c r="F208" s="2" t="s">
        <v>302</v>
      </c>
      <c r="J208" t="str">
        <f t="shared" si="7"/>
        <v>UPDATE dbo.NationWideHomeSalesReport_FullHist  SET [MULTI_FAMILY_AVG_DOLLAR_PER_SQFT_RESALE] = REPLACE([MULTI_FAMILY_AVG_DOLLAR_PER_SQFT_RESALE], ',', '');</v>
      </c>
    </row>
    <row r="209" spans="2:10">
      <c r="B209" s="1" t="s">
        <v>68</v>
      </c>
      <c r="C209" t="s">
        <v>276</v>
      </c>
      <c r="D209" s="2" t="s">
        <v>301</v>
      </c>
      <c r="E209" t="str">
        <f t="shared" si="6"/>
        <v>[MULTI_FAMILY_AVG_DOLLAR_PER_SQFT_NEW_CONST]</v>
      </c>
      <c r="F209" s="2" t="s">
        <v>302</v>
      </c>
      <c r="J209" t="str">
        <f t="shared" si="7"/>
        <v>UPDATE dbo.NationWideHomeSalesReport_FullHist  SET [MULTI_FAMILY_AVG_DOLLAR_PER_SQFT_NEW_CONST] = REPLACE([MULTI_FAMILY_AVG_DOLLAR_PER_SQFT_NEW_CONST], ',', '');</v>
      </c>
    </row>
    <row r="210" spans="2:10">
      <c r="B210" s="1" t="s">
        <v>68</v>
      </c>
      <c r="C210" t="s">
        <v>277</v>
      </c>
      <c r="D210" s="2" t="s">
        <v>301</v>
      </c>
      <c r="E210" t="str">
        <f t="shared" si="6"/>
        <v>[MULTI_FAMILY_MED_SQFT]</v>
      </c>
      <c r="F210" s="2" t="s">
        <v>302</v>
      </c>
      <c r="J210" t="str">
        <f t="shared" si="7"/>
        <v>UPDATE dbo.NationWideHomeSalesReport_FullHist  SET [MULTI_FAMILY_MED_SQFT] = REPLACE([MULTI_FAMILY_MED_SQFT], ',', '');</v>
      </c>
    </row>
    <row r="211" spans="2:10">
      <c r="B211" s="1" t="s">
        <v>68</v>
      </c>
      <c r="C211" t="s">
        <v>278</v>
      </c>
      <c r="D211" s="2" t="s">
        <v>301</v>
      </c>
      <c r="E211" t="str">
        <f t="shared" si="6"/>
        <v>[MULTI_FAMILY_MED_SQFT_RESALE]</v>
      </c>
      <c r="F211" s="2" t="s">
        <v>302</v>
      </c>
      <c r="J211" t="str">
        <f t="shared" si="7"/>
        <v>UPDATE dbo.NationWideHomeSalesReport_FullHist  SET [MULTI_FAMILY_MED_SQFT_RESALE] = REPLACE([MULTI_FAMILY_MED_SQFT_RESALE], ',', '');</v>
      </c>
    </row>
    <row r="212" spans="2:10">
      <c r="B212" s="1" t="s">
        <v>68</v>
      </c>
      <c r="C212" t="s">
        <v>279</v>
      </c>
      <c r="D212" s="2" t="s">
        <v>301</v>
      </c>
      <c r="E212" t="str">
        <f t="shared" si="6"/>
        <v>[MULTI_FAMILY_MED_SQFT_NEW_CONST]</v>
      </c>
      <c r="F212" s="2" t="s">
        <v>302</v>
      </c>
      <c r="J212" t="str">
        <f t="shared" si="7"/>
        <v>UPDATE dbo.NationWideHomeSalesReport_FullHist  SET [MULTI_FAMILY_MED_SQFT_NEW_CONST] = REPLACE([MULTI_FAMILY_MED_SQFT_NEW_CONST], ',', '');</v>
      </c>
    </row>
    <row r="213" spans="2:10">
      <c r="B213" s="1" t="s">
        <v>68</v>
      </c>
      <c r="C213" t="s">
        <v>280</v>
      </c>
      <c r="D213" s="2" t="s">
        <v>301</v>
      </c>
      <c r="E213" t="str">
        <f t="shared" si="6"/>
        <v>[MULTI_FAMILY_MED_DOLLAR_PER_SQFT]</v>
      </c>
      <c r="F213" s="2" t="s">
        <v>302</v>
      </c>
      <c r="J213" t="str">
        <f t="shared" si="7"/>
        <v>UPDATE dbo.NationWideHomeSalesReport_FullHist  SET [MULTI_FAMILY_MED_DOLLAR_PER_SQFT] = REPLACE([MULTI_FAMILY_MED_DOLLAR_PER_SQFT], ',', '');</v>
      </c>
    </row>
    <row r="214" spans="2:10">
      <c r="B214" s="1" t="s">
        <v>68</v>
      </c>
      <c r="C214" t="s">
        <v>281</v>
      </c>
      <c r="D214" s="2" t="s">
        <v>301</v>
      </c>
      <c r="E214" t="str">
        <f t="shared" si="6"/>
        <v>[MULTI_FAMILY_MED_DOLLAR_PER_SQFT_RESALE]</v>
      </c>
      <c r="F214" s="2" t="s">
        <v>302</v>
      </c>
      <c r="J214" t="str">
        <f t="shared" si="7"/>
        <v>UPDATE dbo.NationWideHomeSalesReport_FullHist  SET [MULTI_FAMILY_MED_DOLLAR_PER_SQFT_RESALE] = REPLACE([MULTI_FAMILY_MED_DOLLAR_PER_SQFT_RESALE], ',', '');</v>
      </c>
    </row>
    <row r="215" spans="2:10">
      <c r="B215" s="1" t="s">
        <v>68</v>
      </c>
      <c r="C215" t="s">
        <v>282</v>
      </c>
      <c r="D215" s="2" t="s">
        <v>301</v>
      </c>
      <c r="E215" t="str">
        <f t="shared" si="6"/>
        <v>[MULTI_FAMILY_MED_DOLLAR_PER_SQFT_NEW_CONST]</v>
      </c>
      <c r="F215" s="2" t="s">
        <v>302</v>
      </c>
      <c r="J215" t="str">
        <f t="shared" si="7"/>
        <v>UPDATE dbo.NationWideHomeSalesReport_FullHist  SET [MULTI_FAMILY_MED_DOLLAR_PER_SQFT_NEW_CONST] = REPLACE([MULTI_FAMILY_MED_DOLLAR_PER_SQFT_NEW_CONST], ',', '');</v>
      </c>
    </row>
    <row r="216" spans="2:10">
      <c r="B216" s="1" t="s">
        <v>68</v>
      </c>
      <c r="C216" t="s">
        <v>283</v>
      </c>
      <c r="D216" s="2" t="s">
        <v>301</v>
      </c>
      <c r="E216" t="str">
        <f t="shared" si="6"/>
        <v>[MULTI_FAMILY_12_MONTH_PRICE_CHANGE]</v>
      </c>
      <c r="F216" s="2" t="s">
        <v>302</v>
      </c>
      <c r="J216" t="str">
        <f t="shared" si="7"/>
        <v>UPDATE dbo.NationWideHomeSalesReport_FullHist  SET [MULTI_FAMILY_12_MONTH_PRICE_CHANGE] = REPLACE([MULTI_FAMILY_12_MONTH_PRICE_CHANGE], ',', '');</v>
      </c>
    </row>
    <row r="217" spans="2:10">
      <c r="B217" s="1" t="s">
        <v>68</v>
      </c>
      <c r="C217" t="s">
        <v>284</v>
      </c>
      <c r="D217" s="2" t="s">
        <v>301</v>
      </c>
      <c r="E217" t="str">
        <f t="shared" si="6"/>
        <v>[MULTI_FAMILY_12_MONTH_PRICE_CHANGE_RESALE]</v>
      </c>
      <c r="F217" s="2" t="s">
        <v>302</v>
      </c>
      <c r="J217" t="str">
        <f t="shared" si="7"/>
        <v>UPDATE dbo.NationWideHomeSalesReport_FullHist  SET [MULTI_FAMILY_12_MONTH_PRICE_CHANGE_RESALE] = REPLACE([MULTI_FAMILY_12_MONTH_PRICE_CHANGE_RESALE], ',', '');</v>
      </c>
    </row>
    <row r="218" spans="2:10">
      <c r="B218" s="1" t="s">
        <v>68</v>
      </c>
      <c r="C218" t="s">
        <v>285</v>
      </c>
      <c r="D218" s="2" t="s">
        <v>301</v>
      </c>
      <c r="E218" t="str">
        <f t="shared" si="6"/>
        <v>[MULTI_FAMILY_12_MONTH_PRICE_CHANGE_NEW_CONST]</v>
      </c>
      <c r="F218" s="2" t="s">
        <v>302</v>
      </c>
      <c r="J218" t="str">
        <f t="shared" si="7"/>
        <v>UPDATE dbo.NationWideHomeSalesReport_FullHist  SET [MULTI_FAMILY_12_MONTH_PRICE_CHANGE_NEW_CONST] = REPLACE([MULTI_FAMILY_12_MONTH_PRICE_CHANGE_NEW_CONST], ',', '');</v>
      </c>
    </row>
    <row r="219" spans="2:10">
      <c r="B219" s="1" t="s">
        <v>68</v>
      </c>
      <c r="C219" t="s">
        <v>286</v>
      </c>
      <c r="D219" s="2" t="s">
        <v>301</v>
      </c>
      <c r="E219" t="str">
        <f t="shared" si="6"/>
        <v>[MULTI_FAMILY_OWNER_OCCUPIED_SALES]</v>
      </c>
      <c r="F219" s="2" t="s">
        <v>302</v>
      </c>
      <c r="J219" t="str">
        <f t="shared" si="7"/>
        <v>UPDATE dbo.NationWideHomeSalesReport_FullHist  SET [MULTI_FAMILY_OWNER_OCCUPIED_SALES] = REPLACE([MULTI_FAMILY_OWNER_OCCUPIED_SALES], ',', '');</v>
      </c>
    </row>
    <row r="220" spans="2:10">
      <c r="B220" s="1" t="s">
        <v>68</v>
      </c>
      <c r="C220" t="s">
        <v>287</v>
      </c>
      <c r="D220" s="2" t="s">
        <v>301</v>
      </c>
      <c r="E220" t="str">
        <f t="shared" si="6"/>
        <v>[MULTI_FAMILY_NON_OWNER_OCCUPIED_SALES]</v>
      </c>
      <c r="F220" s="2" t="s">
        <v>302</v>
      </c>
      <c r="J220" t="str">
        <f t="shared" si="7"/>
        <v>UPDATE dbo.NationWideHomeSalesReport_FullHist  SET [MULTI_FAMILY_NON_OWNER_OCCUPIED_SALES] = REPLACE([MULTI_FAMILY_NON_OWNER_OCCUPIED_SALES], ',', '');</v>
      </c>
    </row>
    <row r="221" spans="2:10">
      <c r="B221" s="1" t="s">
        <v>68</v>
      </c>
      <c r="C221" t="s">
        <v>288</v>
      </c>
      <c r="D221" s="2" t="s">
        <v>301</v>
      </c>
      <c r="E221" t="str">
        <f t="shared" si="6"/>
        <v>[MULTI_FAMILY_OWNER_OCCUPIED_AVG_SALES_PRICE]</v>
      </c>
      <c r="F221" s="2" t="s">
        <v>302</v>
      </c>
      <c r="J221" t="str">
        <f t="shared" si="7"/>
        <v>UPDATE dbo.NationWideHomeSalesReport_FullHist  SET [MULTI_FAMILY_OWNER_OCCUPIED_AVG_SALES_PRICE] = REPLACE([MULTI_FAMILY_OWNER_OCCUPIED_AVG_SALES_PRICE], ',', '');</v>
      </c>
    </row>
    <row r="222" spans="2:10">
      <c r="B222" s="1" t="s">
        <v>68</v>
      </c>
      <c r="C222" t="s">
        <v>289</v>
      </c>
      <c r="D222" s="2" t="s">
        <v>301</v>
      </c>
      <c r="E222" t="str">
        <f t="shared" si="6"/>
        <v>[MULTI_FAMILY_NON_OWNER_OCCUPIED_AVG_SALES_PRICE]</v>
      </c>
      <c r="F222" s="2" t="s">
        <v>302</v>
      </c>
      <c r="J222" t="str">
        <f t="shared" si="7"/>
        <v>UPDATE dbo.NationWideHomeSalesReport_FullHist  SET [MULTI_FAMILY_NON_OWNER_OCCUPIED_AVG_SALES_PRICE] = REPLACE([MULTI_FAMILY_NON_OWNER_OCCUPIED_AVG_SALES_PRICE], ',', '');</v>
      </c>
    </row>
    <row r="223" spans="2:10">
      <c r="B223" s="1" t="s">
        <v>68</v>
      </c>
      <c r="C223" t="s">
        <v>290</v>
      </c>
      <c r="D223" s="2" t="s">
        <v>301</v>
      </c>
      <c r="E223" t="str">
        <f t="shared" si="6"/>
        <v>[MULTI_FAMILY_OWNER_OCCUPIED_MED_SALES_PRICE]</v>
      </c>
      <c r="F223" s="2" t="s">
        <v>302</v>
      </c>
      <c r="J223" t="str">
        <f t="shared" si="7"/>
        <v>UPDATE dbo.NationWideHomeSalesReport_FullHist  SET [MULTI_FAMILY_OWNER_OCCUPIED_MED_SALES_PRICE] = REPLACE([MULTI_FAMILY_OWNER_OCCUPIED_MED_SALES_PRICE], ',', '');</v>
      </c>
    </row>
    <row r="224" spans="2:10">
      <c r="B224" s="1" t="s">
        <v>68</v>
      </c>
      <c r="C224" t="s">
        <v>291</v>
      </c>
      <c r="D224" s="2" t="s">
        <v>301</v>
      </c>
      <c r="E224" t="str">
        <f t="shared" si="6"/>
        <v>[MULTI_FAMILY_NON_OWNER_OCCUPIED_MED_SALES_PRICE]</v>
      </c>
      <c r="F224" s="2" t="s">
        <v>302</v>
      </c>
      <c r="J224" t="str">
        <f t="shared" si="7"/>
        <v>UPDATE dbo.NationWideHomeSalesReport_FullHist  SET [MULTI_FAMILY_NON_OWNER_OCCUPIED_MED_SALES_PRICE] = REPLACE([MULTI_FAMILY_NON_OWNER_OCCUPIED_MED_SALES_PRICE], ',', '');</v>
      </c>
    </row>
    <row r="225" spans="2:10">
      <c r="B225" s="1" t="s">
        <v>68</v>
      </c>
      <c r="C225" t="s">
        <v>292</v>
      </c>
      <c r="D225" s="2" t="s">
        <v>301</v>
      </c>
      <c r="E225" t="str">
        <f t="shared" si="6"/>
        <v>[MULTI_FAMILY_SALES_BY_PRICE_RANGE_Under $250K]</v>
      </c>
      <c r="F225" s="2" t="s">
        <v>302</v>
      </c>
      <c r="J225" t="str">
        <f t="shared" si="7"/>
        <v>UPDATE dbo.NationWideHomeSalesReport_FullHist  SET [MULTI_FAMILY_SALES_BY_PRICE_RANGE_Under $250K] = REPLACE([MULTI_FAMILY_SALES_BY_PRICE_RANGE_Under $250K], ',', '');</v>
      </c>
    </row>
    <row r="226" spans="2:10">
      <c r="B226" s="1" t="s">
        <v>68</v>
      </c>
      <c r="C226" t="s">
        <v>293</v>
      </c>
      <c r="D226" s="2" t="s">
        <v>301</v>
      </c>
      <c r="E226" t="str">
        <f t="shared" si="6"/>
        <v>[MULTI_FAMILY_SALES_BY_PRICE_RANGE_$250K-$500K]</v>
      </c>
      <c r="F226" s="2" t="s">
        <v>302</v>
      </c>
      <c r="J226" t="str">
        <f t="shared" si="7"/>
        <v>UPDATE dbo.NationWideHomeSalesReport_FullHist  SET [MULTI_FAMILY_SALES_BY_PRICE_RANGE_$250K-$500K] = REPLACE([MULTI_FAMILY_SALES_BY_PRICE_RANGE_$250K-$500K], ',', '');</v>
      </c>
    </row>
    <row r="227" spans="2:10">
      <c r="B227" s="1" t="s">
        <v>68</v>
      </c>
      <c r="C227" t="s">
        <v>294</v>
      </c>
      <c r="D227" s="2" t="s">
        <v>301</v>
      </c>
      <c r="E227" t="str">
        <f t="shared" si="6"/>
        <v>[MULTI_FAMILY_SALES_BY_PRICE_RANGE_$500K-$750K]</v>
      </c>
      <c r="F227" s="2" t="s">
        <v>302</v>
      </c>
      <c r="J227" t="str">
        <f t="shared" si="7"/>
        <v>UPDATE dbo.NationWideHomeSalesReport_FullHist  SET [MULTI_FAMILY_SALES_BY_PRICE_RANGE_$500K-$750K] = REPLACE([MULTI_FAMILY_SALES_BY_PRICE_RANGE_$500K-$750K], ',', '');</v>
      </c>
    </row>
    <row r="228" spans="2:10">
      <c r="B228" s="1" t="s">
        <v>68</v>
      </c>
      <c r="C228" t="s">
        <v>295</v>
      </c>
      <c r="D228" s="2" t="s">
        <v>301</v>
      </c>
      <c r="E228" t="str">
        <f t="shared" si="6"/>
        <v>[MULTI_FAMILY_SALES_BY_PRICE_RANGE_$750K-$1M]</v>
      </c>
      <c r="F228" s="2" t="s">
        <v>302</v>
      </c>
      <c r="J228" t="str">
        <f t="shared" si="7"/>
        <v>UPDATE dbo.NationWideHomeSalesReport_FullHist  SET [MULTI_FAMILY_SALES_BY_PRICE_RANGE_$750K-$1M] = REPLACE([MULTI_FAMILY_SALES_BY_PRICE_RANGE_$750K-$1M], ',', '');</v>
      </c>
    </row>
    <row r="229" spans="2:10">
      <c r="B229" s="1" t="s">
        <v>68</v>
      </c>
      <c r="C229" t="s">
        <v>296</v>
      </c>
      <c r="D229" s="2" t="s">
        <v>301</v>
      </c>
      <c r="E229" t="str">
        <f t="shared" si="6"/>
        <v>[MULTI_FAMILY_SALES_BY_PRICE_RANGE_$1M-$1 5M]</v>
      </c>
      <c r="F229" s="2" t="s">
        <v>302</v>
      </c>
      <c r="J229" t="str">
        <f t="shared" si="7"/>
        <v>UPDATE dbo.NationWideHomeSalesReport_FullHist  SET [MULTI_FAMILY_SALES_BY_PRICE_RANGE_$1M-$1 5M] = REPLACE([MULTI_FAMILY_SALES_BY_PRICE_RANGE_$1M-$1 5M], ',', '');</v>
      </c>
    </row>
    <row r="230" spans="2:10">
      <c r="B230" s="1" t="s">
        <v>68</v>
      </c>
      <c r="C230" t="s">
        <v>297</v>
      </c>
      <c r="D230" s="2" t="s">
        <v>301</v>
      </c>
      <c r="E230" t="str">
        <f t="shared" si="6"/>
        <v>[MULTI_FAMILY_SALES_BY_PRICE_RANGE_$1 5M-$2 0M]</v>
      </c>
      <c r="F230" s="2" t="s">
        <v>302</v>
      </c>
      <c r="J230" t="str">
        <f t="shared" si="7"/>
        <v>UPDATE dbo.NationWideHomeSalesReport_FullHist  SET [MULTI_FAMILY_SALES_BY_PRICE_RANGE_$1 5M-$2 0M] = REPLACE([MULTI_FAMILY_SALES_BY_PRICE_RANGE_$1 5M-$2 0M], ',', '');</v>
      </c>
    </row>
    <row r="231" spans="2:10">
      <c r="B231" s="1" t="s">
        <v>68</v>
      </c>
      <c r="C231" t="s">
        <v>298</v>
      </c>
      <c r="D231" s="2" t="s">
        <v>301</v>
      </c>
      <c r="E231" t="str">
        <f t="shared" si="6"/>
        <v>[MULTI_FAMILY_SALES_BY_PRICE_RANGE_$2M-$3M]</v>
      </c>
      <c r="F231" s="2" t="s">
        <v>302</v>
      </c>
      <c r="J231" t="str">
        <f t="shared" si="7"/>
        <v>UPDATE dbo.NationWideHomeSalesReport_FullHist  SET [MULTI_FAMILY_SALES_BY_PRICE_RANGE_$2M-$3M] = REPLACE([MULTI_FAMILY_SALES_BY_PRICE_RANGE_$2M-$3M], ',', '');</v>
      </c>
    </row>
    <row r="232" spans="2:10">
      <c r="B232" s="1" t="s">
        <v>68</v>
      </c>
      <c r="C232" t="s">
        <v>299</v>
      </c>
      <c r="D232" s="2" t="s">
        <v>301</v>
      </c>
      <c r="E232" t="str">
        <f t="shared" si="6"/>
        <v>[MULTI_FAMILY_SALES_BY_PRICE_RANGE_$3M-$5M]</v>
      </c>
      <c r="F232" s="2" t="s">
        <v>302</v>
      </c>
      <c r="J232" t="str">
        <f t="shared" si="7"/>
        <v>UPDATE dbo.NationWideHomeSalesReport_FullHist  SET [MULTI_FAMILY_SALES_BY_PRICE_RANGE_$3M-$5M] = REPLACE([MULTI_FAMILY_SALES_BY_PRICE_RANGE_$3M-$5M], ',', '');</v>
      </c>
    </row>
    <row r="233" spans="2:10">
      <c r="B233" s="1" t="s">
        <v>68</v>
      </c>
      <c r="C233" t="s">
        <v>300</v>
      </c>
      <c r="D233" s="2" t="s">
        <v>301</v>
      </c>
      <c r="E233" t="str">
        <f t="shared" si="6"/>
        <v>[MULTI_FAMILY_SALES_BY_PRICE_RANGE_Over $5M]</v>
      </c>
      <c r="F233" s="2" t="s">
        <v>302</v>
      </c>
      <c r="J233" t="str">
        <f t="shared" si="7"/>
        <v>UPDATE dbo.NationWideHomeSalesReport_FullHist  SET [MULTI_FAMILY_SALES_BY_PRICE_RANGE_Over $5M] = REPLACE([MULTI_FAMILY_SALES_BY_PRICE_RANGE_Over $5M], ',', '');</v>
      </c>
    </row>
  </sheetData>
  <autoFilter ref="B2:H233" xr:uid="{B658EE4A-088D-431C-BD57-58004CAA38D8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666E-5188-40D8-AB42-C496898EBDED}">
  <dimension ref="B1:I62"/>
  <sheetViews>
    <sheetView workbookViewId="0">
      <selection activeCell="F8" sqref="F8"/>
    </sheetView>
  </sheetViews>
  <sheetFormatPr defaultRowHeight="15"/>
  <cols>
    <col min="3" max="3" width="58" bestFit="1" customWidth="1"/>
    <col min="6" max="6" width="11.140625" bestFit="1" customWidth="1"/>
    <col min="9" max="9" width="66" bestFit="1" customWidth="1"/>
  </cols>
  <sheetData>
    <row r="1" spans="2:9">
      <c r="B1" s="1" t="s">
        <v>8</v>
      </c>
      <c r="C1" t="s">
        <v>0</v>
      </c>
      <c r="D1" t="s">
        <v>9</v>
      </c>
      <c r="E1" t="s">
        <v>8</v>
      </c>
      <c r="F1" t="s">
        <v>1</v>
      </c>
      <c r="G1" t="s">
        <v>65</v>
      </c>
      <c r="I1" t="str">
        <f>A1&amp;B1&amp;C1&amp;D1&amp;E1&amp;F1&amp;G1</f>
        <v>"LOCATION_AGGREGATE": "varchar(50)",</v>
      </c>
    </row>
    <row r="2" spans="2:9">
      <c r="B2" s="1" t="s">
        <v>8</v>
      </c>
      <c r="C2" t="s">
        <v>2</v>
      </c>
      <c r="D2" t="s">
        <v>9</v>
      </c>
      <c r="E2" t="s">
        <v>8</v>
      </c>
      <c r="F2" t="s">
        <v>1</v>
      </c>
      <c r="G2" t="s">
        <v>65</v>
      </c>
      <c r="I2" t="str">
        <f t="shared" ref="I2:I62" si="0">A2&amp;B2&amp;C2&amp;D2&amp;E2&amp;F2&amp;G2</f>
        <v>"LOCATION_CODE": "varchar(50)",</v>
      </c>
    </row>
    <row r="3" spans="2:9">
      <c r="B3" s="1" t="s">
        <v>8</v>
      </c>
      <c r="C3" t="s">
        <v>3</v>
      </c>
      <c r="D3" t="s">
        <v>9</v>
      </c>
      <c r="E3" t="s">
        <v>8</v>
      </c>
      <c r="F3" t="s">
        <v>1</v>
      </c>
      <c r="G3" t="s">
        <v>65</v>
      </c>
      <c r="I3" t="str">
        <f t="shared" si="0"/>
        <v>"TIME_PERIOD": "varchar(50)",</v>
      </c>
    </row>
    <row r="4" spans="2:9">
      <c r="B4" s="1" t="s">
        <v>8</v>
      </c>
      <c r="C4" t="s">
        <v>4</v>
      </c>
      <c r="D4" t="s">
        <v>9</v>
      </c>
      <c r="E4" t="s">
        <v>8</v>
      </c>
      <c r="F4" t="s">
        <v>1</v>
      </c>
      <c r="G4" t="s">
        <v>65</v>
      </c>
      <c r="I4" t="str">
        <f t="shared" si="0"/>
        <v>"LOCATION_CITY": "varchar(50)",</v>
      </c>
    </row>
    <row r="5" spans="2:9">
      <c r="B5" s="1" t="s">
        <v>8</v>
      </c>
      <c r="C5" t="s">
        <v>5</v>
      </c>
      <c r="D5" t="s">
        <v>9</v>
      </c>
      <c r="E5" t="s">
        <v>8</v>
      </c>
      <c r="F5" t="s">
        <v>1</v>
      </c>
      <c r="G5" t="s">
        <v>65</v>
      </c>
      <c r="I5" t="str">
        <f t="shared" si="0"/>
        <v>"LOCATION_COUNTY": "varchar(50)",</v>
      </c>
    </row>
    <row r="6" spans="2:9">
      <c r="B6" s="1" t="s">
        <v>8</v>
      </c>
      <c r="C6" t="s">
        <v>6</v>
      </c>
      <c r="D6" t="s">
        <v>9</v>
      </c>
      <c r="E6" t="s">
        <v>8</v>
      </c>
      <c r="F6" t="s">
        <v>1</v>
      </c>
      <c r="G6" t="s">
        <v>65</v>
      </c>
      <c r="I6" t="str">
        <f t="shared" si="0"/>
        <v>"LOCATION_CBSA": "varchar(50)",</v>
      </c>
    </row>
    <row r="7" spans="2:9">
      <c r="B7" s="1" t="s">
        <v>8</v>
      </c>
      <c r="C7" t="s">
        <v>7</v>
      </c>
      <c r="D7" t="s">
        <v>9</v>
      </c>
      <c r="E7" t="s">
        <v>8</v>
      </c>
      <c r="F7" t="s">
        <v>1</v>
      </c>
      <c r="G7" t="s">
        <v>65</v>
      </c>
      <c r="I7" t="str">
        <f t="shared" si="0"/>
        <v>"LOCATION_STATE": "varchar(50)",</v>
      </c>
    </row>
    <row r="8" spans="2:9">
      <c r="B8" s="1" t="s">
        <v>8</v>
      </c>
      <c r="C8" t="s">
        <v>10</v>
      </c>
      <c r="D8" t="s">
        <v>9</v>
      </c>
      <c r="E8" t="s">
        <v>8</v>
      </c>
      <c r="F8" t="s">
        <v>66</v>
      </c>
      <c r="G8" t="s">
        <v>65</v>
      </c>
      <c r="I8" t="str">
        <f t="shared" si="0"/>
        <v>"FORECLOSURE_TOTAL_FILINGS": "DOUBLE PRECISION",</v>
      </c>
    </row>
    <row r="9" spans="2:9">
      <c r="B9" s="1" t="s">
        <v>8</v>
      </c>
      <c r="C9" t="s">
        <v>11</v>
      </c>
      <c r="D9" t="s">
        <v>9</v>
      </c>
      <c r="E9" t="s">
        <v>8</v>
      </c>
      <c r="F9" t="s">
        <v>66</v>
      </c>
      <c r="G9" t="s">
        <v>65</v>
      </c>
      <c r="I9" t="str">
        <f t="shared" si="0"/>
        <v>"FORECLOSURE_TRUSTEES_DEED": "DOUBLE PRECISION",</v>
      </c>
    </row>
    <row r="10" spans="2:9">
      <c r="B10" s="1" t="s">
        <v>8</v>
      </c>
      <c r="C10" t="s">
        <v>12</v>
      </c>
      <c r="D10" t="s">
        <v>9</v>
      </c>
      <c r="E10" t="s">
        <v>8</v>
      </c>
      <c r="F10" t="s">
        <v>66</v>
      </c>
      <c r="G10" t="s">
        <v>65</v>
      </c>
      <c r="I10" t="str">
        <f t="shared" si="0"/>
        <v>"FORECLOSURE_OTHER": "DOUBLE PRECISION",</v>
      </c>
    </row>
    <row r="11" spans="2:9">
      <c r="B11" s="1" t="s">
        <v>8</v>
      </c>
      <c r="C11" t="s">
        <v>13</v>
      </c>
      <c r="D11" t="s">
        <v>9</v>
      </c>
      <c r="E11" t="s">
        <v>8</v>
      </c>
      <c r="F11" t="s">
        <v>66</v>
      </c>
      <c r="G11" t="s">
        <v>65</v>
      </c>
      <c r="I11" t="str">
        <f t="shared" si="0"/>
        <v>"PRE_FORCLOSURE_TOTAL_FILINGS": "DOUBLE PRECISION",</v>
      </c>
    </row>
    <row r="12" spans="2:9">
      <c r="B12" s="1" t="s">
        <v>8</v>
      </c>
      <c r="C12" t="s">
        <v>14</v>
      </c>
      <c r="D12" t="s">
        <v>9</v>
      </c>
      <c r="E12" t="s">
        <v>8</v>
      </c>
      <c r="F12" t="s">
        <v>66</v>
      </c>
      <c r="G12" t="s">
        <v>65</v>
      </c>
      <c r="I12" t="str">
        <f t="shared" si="0"/>
        <v>"PRE_FORECLOSURE_NOTICE_OF_DEFAULT": "DOUBLE PRECISION",</v>
      </c>
    </row>
    <row r="13" spans="2:9">
      <c r="B13" s="1" t="s">
        <v>8</v>
      </c>
      <c r="C13" t="s">
        <v>15</v>
      </c>
      <c r="D13" t="s">
        <v>9</v>
      </c>
      <c r="E13" t="s">
        <v>8</v>
      </c>
      <c r="F13" t="s">
        <v>66</v>
      </c>
      <c r="G13" t="s">
        <v>65</v>
      </c>
      <c r="I13" t="str">
        <f t="shared" si="0"/>
        <v>"PRE_FORECLOSURE_NOTICE_OF_FORECLOSURE": "DOUBLE PRECISION",</v>
      </c>
    </row>
    <row r="14" spans="2:9">
      <c r="B14" s="1" t="s">
        <v>8</v>
      </c>
      <c r="C14" t="s">
        <v>16</v>
      </c>
      <c r="D14" t="s">
        <v>9</v>
      </c>
      <c r="E14" t="s">
        <v>8</v>
      </c>
      <c r="F14" t="s">
        <v>66</v>
      </c>
      <c r="G14" t="s">
        <v>65</v>
      </c>
      <c r="I14" t="str">
        <f t="shared" si="0"/>
        <v>"PRE_FORECLOSURE_NOTICE_OF_SALE": "DOUBLE PRECISION",</v>
      </c>
    </row>
    <row r="15" spans="2:9">
      <c r="B15" s="1" t="s">
        <v>8</v>
      </c>
      <c r="C15" t="s">
        <v>17</v>
      </c>
      <c r="D15" t="s">
        <v>9</v>
      </c>
      <c r="E15" t="s">
        <v>8</v>
      </c>
      <c r="F15" t="s">
        <v>66</v>
      </c>
      <c r="G15" t="s">
        <v>65</v>
      </c>
      <c r="I15" t="str">
        <f t="shared" si="0"/>
        <v>"PRE_FORECLOSURE_NOTICE_OF_TRUSTEES_SALE": "DOUBLE PRECISION",</v>
      </c>
    </row>
    <row r="16" spans="2:9">
      <c r="B16" s="1" t="s">
        <v>8</v>
      </c>
      <c r="C16" t="s">
        <v>18</v>
      </c>
      <c r="D16" t="s">
        <v>9</v>
      </c>
      <c r="E16" t="s">
        <v>8</v>
      </c>
      <c r="F16" t="s">
        <v>66</v>
      </c>
      <c r="G16" t="s">
        <v>65</v>
      </c>
      <c r="I16" t="str">
        <f t="shared" si="0"/>
        <v>"PRE_FORECLOSURE_LIS_PENDENS": "DOUBLE PRECISION",</v>
      </c>
    </row>
    <row r="17" spans="2:9">
      <c r="B17" s="1" t="s">
        <v>8</v>
      </c>
      <c r="C17" t="s">
        <v>19</v>
      </c>
      <c r="D17" t="s">
        <v>9</v>
      </c>
      <c r="E17" t="s">
        <v>8</v>
      </c>
      <c r="F17" t="s">
        <v>66</v>
      </c>
      <c r="G17" t="s">
        <v>65</v>
      </c>
      <c r="I17" t="str">
        <f t="shared" si="0"/>
        <v>"PRE_FORECLOSURE_FINAL_JUDGEMENT": "DOUBLE PRECISION",</v>
      </c>
    </row>
    <row r="18" spans="2:9">
      <c r="B18" s="1" t="s">
        <v>8</v>
      </c>
      <c r="C18" t="s">
        <v>20</v>
      </c>
      <c r="D18" t="s">
        <v>9</v>
      </c>
      <c r="E18" t="s">
        <v>8</v>
      </c>
      <c r="F18" t="s">
        <v>66</v>
      </c>
      <c r="G18" t="s">
        <v>65</v>
      </c>
      <c r="I18" t="str">
        <f t="shared" si="0"/>
        <v>"PRE_FORECLOSURE_OTHER": "DOUBLE PRECISION",</v>
      </c>
    </row>
    <row r="19" spans="2:9">
      <c r="B19" s="1" t="s">
        <v>8</v>
      </c>
      <c r="C19" t="s">
        <v>21</v>
      </c>
      <c r="D19" t="s">
        <v>9</v>
      </c>
      <c r="E19" t="s">
        <v>8</v>
      </c>
      <c r="F19" t="s">
        <v>66</v>
      </c>
      <c r="G19" t="s">
        <v>65</v>
      </c>
      <c r="I19" t="str">
        <f t="shared" si="0"/>
        <v>"CONDO_FORECLOSURE_TOTAL_FILINGS": "DOUBLE PRECISION",</v>
      </c>
    </row>
    <row r="20" spans="2:9">
      <c r="B20" s="1" t="s">
        <v>8</v>
      </c>
      <c r="C20" t="s">
        <v>22</v>
      </c>
      <c r="D20" t="s">
        <v>9</v>
      </c>
      <c r="E20" t="s">
        <v>8</v>
      </c>
      <c r="F20" t="s">
        <v>66</v>
      </c>
      <c r="G20" t="s">
        <v>65</v>
      </c>
      <c r="I20" t="str">
        <f t="shared" si="0"/>
        <v>"CONDO_FORECLOSURE_TRUSTEES_DEED": "DOUBLE PRECISION",</v>
      </c>
    </row>
    <row r="21" spans="2:9">
      <c r="B21" s="1" t="s">
        <v>8</v>
      </c>
      <c r="C21" t="s">
        <v>23</v>
      </c>
      <c r="D21" t="s">
        <v>9</v>
      </c>
      <c r="E21" t="s">
        <v>8</v>
      </c>
      <c r="F21" t="s">
        <v>66</v>
      </c>
      <c r="G21" t="s">
        <v>65</v>
      </c>
      <c r="I21" t="str">
        <f t="shared" si="0"/>
        <v>"CONDO_FORECLOSURE_OTHER": "DOUBLE PRECISION",</v>
      </c>
    </row>
    <row r="22" spans="2:9">
      <c r="B22" s="1" t="s">
        <v>8</v>
      </c>
      <c r="C22" t="s">
        <v>24</v>
      </c>
      <c r="D22" t="s">
        <v>9</v>
      </c>
      <c r="E22" t="s">
        <v>8</v>
      </c>
      <c r="F22" t="s">
        <v>66</v>
      </c>
      <c r="G22" t="s">
        <v>65</v>
      </c>
      <c r="I22" t="str">
        <f t="shared" si="0"/>
        <v>"CONDO_PRE_FORCLOSURE_TOTAL_FILINGS": "DOUBLE PRECISION",</v>
      </c>
    </row>
    <row r="23" spans="2:9">
      <c r="B23" s="1" t="s">
        <v>8</v>
      </c>
      <c r="C23" t="s">
        <v>25</v>
      </c>
      <c r="D23" t="s">
        <v>9</v>
      </c>
      <c r="E23" t="s">
        <v>8</v>
      </c>
      <c r="F23" t="s">
        <v>66</v>
      </c>
      <c r="G23" t="s">
        <v>65</v>
      </c>
      <c r="I23" t="str">
        <f t="shared" si="0"/>
        <v>"CONDO_PRE_FORECLOSURE_NOTICE_OF_DEFAULT": "DOUBLE PRECISION",</v>
      </c>
    </row>
    <row r="24" spans="2:9">
      <c r="B24" s="1" t="s">
        <v>8</v>
      </c>
      <c r="C24" t="s">
        <v>26</v>
      </c>
      <c r="D24" t="s">
        <v>9</v>
      </c>
      <c r="E24" t="s">
        <v>8</v>
      </c>
      <c r="F24" t="s">
        <v>66</v>
      </c>
      <c r="G24" t="s">
        <v>65</v>
      </c>
      <c r="I24" t="str">
        <f t="shared" si="0"/>
        <v>"CONDO_PRE_FORECLOSURE_NOTICE_OF_FORECLOSURE": "DOUBLE PRECISION",</v>
      </c>
    </row>
    <row r="25" spans="2:9">
      <c r="B25" s="1" t="s">
        <v>8</v>
      </c>
      <c r="C25" t="s">
        <v>27</v>
      </c>
      <c r="D25" t="s">
        <v>9</v>
      </c>
      <c r="E25" t="s">
        <v>8</v>
      </c>
      <c r="F25" t="s">
        <v>66</v>
      </c>
      <c r="G25" t="s">
        <v>65</v>
      </c>
      <c r="I25" t="str">
        <f t="shared" si="0"/>
        <v>"CONDO_PRE_FORECLOSURE_NOTICE_OF_SALE": "DOUBLE PRECISION",</v>
      </c>
    </row>
    <row r="26" spans="2:9">
      <c r="B26" s="1" t="s">
        <v>8</v>
      </c>
      <c r="C26" t="s">
        <v>28</v>
      </c>
      <c r="D26" t="s">
        <v>9</v>
      </c>
      <c r="E26" t="s">
        <v>8</v>
      </c>
      <c r="F26" t="s">
        <v>66</v>
      </c>
      <c r="G26" t="s">
        <v>65</v>
      </c>
      <c r="I26" t="str">
        <f t="shared" si="0"/>
        <v>"CONDO_PRE_FORECLOSURE_NOTICE_OF_TRUSTEES_SALE": "DOUBLE PRECISION",</v>
      </c>
    </row>
    <row r="27" spans="2:9">
      <c r="B27" s="1" t="s">
        <v>8</v>
      </c>
      <c r="C27" t="s">
        <v>29</v>
      </c>
      <c r="D27" t="s">
        <v>9</v>
      </c>
      <c r="E27" t="s">
        <v>8</v>
      </c>
      <c r="F27" t="s">
        <v>66</v>
      </c>
      <c r="G27" t="s">
        <v>65</v>
      </c>
      <c r="I27" t="str">
        <f t="shared" si="0"/>
        <v>"CONDO_PRE_FORECLOSURE_LIS_PENDENS": "DOUBLE PRECISION",</v>
      </c>
    </row>
    <row r="28" spans="2:9">
      <c r="B28" s="1" t="s">
        <v>8</v>
      </c>
      <c r="C28" t="s">
        <v>30</v>
      </c>
      <c r="D28" t="s">
        <v>9</v>
      </c>
      <c r="E28" t="s">
        <v>8</v>
      </c>
      <c r="F28" t="s">
        <v>66</v>
      </c>
      <c r="G28" t="s">
        <v>65</v>
      </c>
      <c r="I28" t="str">
        <f t="shared" si="0"/>
        <v>"CONDO_PRE_FORECLOSURE_FINAL_JUDGEMENT": "DOUBLE PRECISION",</v>
      </c>
    </row>
    <row r="29" spans="2:9">
      <c r="B29" s="1" t="s">
        <v>8</v>
      </c>
      <c r="C29" t="s">
        <v>31</v>
      </c>
      <c r="D29" t="s">
        <v>9</v>
      </c>
      <c r="E29" t="s">
        <v>8</v>
      </c>
      <c r="F29" t="s">
        <v>66</v>
      </c>
      <c r="G29" t="s">
        <v>65</v>
      </c>
      <c r="I29" t="str">
        <f t="shared" si="0"/>
        <v>"CONDO_PRE_FORECLOSURE_OTHER": "DOUBLE PRECISION",</v>
      </c>
    </row>
    <row r="30" spans="2:9">
      <c r="B30" s="1" t="s">
        <v>8</v>
      </c>
      <c r="C30" t="s">
        <v>32</v>
      </c>
      <c r="D30" t="s">
        <v>9</v>
      </c>
      <c r="E30" t="s">
        <v>8</v>
      </c>
      <c r="F30" t="s">
        <v>66</v>
      </c>
      <c r="G30" t="s">
        <v>65</v>
      </c>
      <c r="I30" t="str">
        <f t="shared" si="0"/>
        <v>"SFR_ATTACHED_FORECLOSURE_TOTAL_FILINGS": "DOUBLE PRECISION",</v>
      </c>
    </row>
    <row r="31" spans="2:9">
      <c r="B31" s="1" t="s">
        <v>8</v>
      </c>
      <c r="C31" t="s">
        <v>33</v>
      </c>
      <c r="D31" t="s">
        <v>9</v>
      </c>
      <c r="E31" t="s">
        <v>8</v>
      </c>
      <c r="F31" t="s">
        <v>66</v>
      </c>
      <c r="G31" t="s">
        <v>65</v>
      </c>
      <c r="I31" t="str">
        <f t="shared" si="0"/>
        <v>"SFR_ATTACHED_FORECLOSURE_TRUSTEES_DEED": "DOUBLE PRECISION",</v>
      </c>
    </row>
    <row r="32" spans="2:9">
      <c r="B32" s="1" t="s">
        <v>8</v>
      </c>
      <c r="C32" t="s">
        <v>34</v>
      </c>
      <c r="D32" t="s">
        <v>9</v>
      </c>
      <c r="E32" t="s">
        <v>8</v>
      </c>
      <c r="F32" t="s">
        <v>66</v>
      </c>
      <c r="G32" t="s">
        <v>65</v>
      </c>
      <c r="I32" t="str">
        <f t="shared" si="0"/>
        <v>"SFR_ATTACHED_FORECLOSURE_OTHER": "DOUBLE PRECISION",</v>
      </c>
    </row>
    <row r="33" spans="2:9">
      <c r="B33" s="1" t="s">
        <v>8</v>
      </c>
      <c r="C33" t="s">
        <v>35</v>
      </c>
      <c r="D33" t="s">
        <v>9</v>
      </c>
      <c r="E33" t="s">
        <v>8</v>
      </c>
      <c r="F33" t="s">
        <v>66</v>
      </c>
      <c r="G33" t="s">
        <v>65</v>
      </c>
      <c r="I33" t="str">
        <f t="shared" si="0"/>
        <v>"SFR_ATTACHED_PRE_FORCLOSURE_TOTAL_FILINGS": "DOUBLE PRECISION",</v>
      </c>
    </row>
    <row r="34" spans="2:9">
      <c r="B34" s="1" t="s">
        <v>8</v>
      </c>
      <c r="C34" t="s">
        <v>36</v>
      </c>
      <c r="D34" t="s">
        <v>9</v>
      </c>
      <c r="E34" t="s">
        <v>8</v>
      </c>
      <c r="F34" t="s">
        <v>66</v>
      </c>
      <c r="G34" t="s">
        <v>65</v>
      </c>
      <c r="I34" t="str">
        <f t="shared" si="0"/>
        <v>"SFR_ATTACHED_PRE_FORECLOSURE_NOTICE_OF_DEFAULT": "DOUBLE PRECISION",</v>
      </c>
    </row>
    <row r="35" spans="2:9">
      <c r="B35" s="1" t="s">
        <v>8</v>
      </c>
      <c r="C35" t="s">
        <v>37</v>
      </c>
      <c r="D35" t="s">
        <v>9</v>
      </c>
      <c r="E35" t="s">
        <v>8</v>
      </c>
      <c r="F35" t="s">
        <v>66</v>
      </c>
      <c r="G35" t="s">
        <v>65</v>
      </c>
      <c r="I35" t="str">
        <f t="shared" si="0"/>
        <v>"SFR_ATTACHED_PRE_FORECLOSURE_NOTICE_OF_FORECLOSURE": "DOUBLE PRECISION",</v>
      </c>
    </row>
    <row r="36" spans="2:9">
      <c r="B36" s="1" t="s">
        <v>8</v>
      </c>
      <c r="C36" t="s">
        <v>38</v>
      </c>
      <c r="D36" t="s">
        <v>9</v>
      </c>
      <c r="E36" t="s">
        <v>8</v>
      </c>
      <c r="F36" t="s">
        <v>66</v>
      </c>
      <c r="G36" t="s">
        <v>65</v>
      </c>
      <c r="I36" t="str">
        <f t="shared" si="0"/>
        <v>"SFR_ATTACHED_PRE_FORECLOSURE_NOTICE_OF_SALE": "DOUBLE PRECISION",</v>
      </c>
    </row>
    <row r="37" spans="2:9">
      <c r="B37" s="1" t="s">
        <v>8</v>
      </c>
      <c r="C37" t="s">
        <v>39</v>
      </c>
      <c r="D37" t="s">
        <v>9</v>
      </c>
      <c r="E37" t="s">
        <v>8</v>
      </c>
      <c r="F37" t="s">
        <v>66</v>
      </c>
      <c r="G37" t="s">
        <v>65</v>
      </c>
      <c r="I37" t="str">
        <f t="shared" si="0"/>
        <v>"SFR_ATTACHED_PRE_FORECLOSURE_NOTICE_OF_TRUSTEES_SALE": "DOUBLE PRECISION",</v>
      </c>
    </row>
    <row r="38" spans="2:9">
      <c r="B38" s="1" t="s">
        <v>8</v>
      </c>
      <c r="C38" t="s">
        <v>40</v>
      </c>
      <c r="D38" t="s">
        <v>9</v>
      </c>
      <c r="E38" t="s">
        <v>8</v>
      </c>
      <c r="F38" t="s">
        <v>66</v>
      </c>
      <c r="G38" t="s">
        <v>65</v>
      </c>
      <c r="I38" t="str">
        <f t="shared" si="0"/>
        <v>"SFR_ATTACHED_PRE_FORECLOSURE_LIS_PENDENS": "DOUBLE PRECISION",</v>
      </c>
    </row>
    <row r="39" spans="2:9">
      <c r="B39" s="1" t="s">
        <v>8</v>
      </c>
      <c r="C39" t="s">
        <v>41</v>
      </c>
      <c r="D39" t="s">
        <v>9</v>
      </c>
      <c r="E39" t="s">
        <v>8</v>
      </c>
      <c r="F39" t="s">
        <v>66</v>
      </c>
      <c r="G39" t="s">
        <v>65</v>
      </c>
      <c r="I39" t="str">
        <f t="shared" si="0"/>
        <v>"SFR_ATTACHED_PRE_FORECLOSURE_FINAL_JUDGEMENT": "DOUBLE PRECISION",</v>
      </c>
    </row>
    <row r="40" spans="2:9">
      <c r="B40" s="1" t="s">
        <v>8</v>
      </c>
      <c r="C40" t="s">
        <v>42</v>
      </c>
      <c r="D40" t="s">
        <v>9</v>
      </c>
      <c r="E40" t="s">
        <v>8</v>
      </c>
      <c r="F40" t="s">
        <v>66</v>
      </c>
      <c r="G40" t="s">
        <v>65</v>
      </c>
      <c r="I40" t="str">
        <f t="shared" si="0"/>
        <v>"SFR_ATTACHED_PRE_FORECLOSURE_OTHER": "DOUBLE PRECISION",</v>
      </c>
    </row>
    <row r="41" spans="2:9">
      <c r="B41" s="1" t="s">
        <v>8</v>
      </c>
      <c r="C41" t="s">
        <v>43</v>
      </c>
      <c r="D41" t="s">
        <v>9</v>
      </c>
      <c r="E41" t="s">
        <v>8</v>
      </c>
      <c r="F41" t="s">
        <v>66</v>
      </c>
      <c r="G41" t="s">
        <v>65</v>
      </c>
      <c r="I41" t="str">
        <f t="shared" si="0"/>
        <v>"SFR_DETACHED_FORECLOSURE_TOTAL_FILINGS": "DOUBLE PRECISION",</v>
      </c>
    </row>
    <row r="42" spans="2:9">
      <c r="B42" s="1" t="s">
        <v>8</v>
      </c>
      <c r="C42" t="s">
        <v>44</v>
      </c>
      <c r="D42" t="s">
        <v>9</v>
      </c>
      <c r="E42" t="s">
        <v>8</v>
      </c>
      <c r="F42" t="s">
        <v>66</v>
      </c>
      <c r="G42" t="s">
        <v>65</v>
      </c>
      <c r="I42" t="str">
        <f t="shared" si="0"/>
        <v>"SFR_DETACHED_FORECLOSURE_TRUSTEES_DEED": "DOUBLE PRECISION",</v>
      </c>
    </row>
    <row r="43" spans="2:9">
      <c r="B43" s="1" t="s">
        <v>8</v>
      </c>
      <c r="C43" t="s">
        <v>45</v>
      </c>
      <c r="D43" t="s">
        <v>9</v>
      </c>
      <c r="E43" t="s">
        <v>8</v>
      </c>
      <c r="F43" t="s">
        <v>66</v>
      </c>
      <c r="G43" t="s">
        <v>65</v>
      </c>
      <c r="I43" t="str">
        <f t="shared" si="0"/>
        <v>"SFR_DETACHED_FORECLOSURE_OTHER": "DOUBLE PRECISION",</v>
      </c>
    </row>
    <row r="44" spans="2:9">
      <c r="B44" s="1" t="s">
        <v>8</v>
      </c>
      <c r="C44" t="s">
        <v>46</v>
      </c>
      <c r="D44" t="s">
        <v>9</v>
      </c>
      <c r="E44" t="s">
        <v>8</v>
      </c>
      <c r="F44" t="s">
        <v>66</v>
      </c>
      <c r="G44" t="s">
        <v>65</v>
      </c>
      <c r="I44" t="str">
        <f t="shared" si="0"/>
        <v>"SFR_DETACHED_PRE_FORCLOSURE_TOTAL_FILINGS": "DOUBLE PRECISION",</v>
      </c>
    </row>
    <row r="45" spans="2:9">
      <c r="B45" s="1" t="s">
        <v>8</v>
      </c>
      <c r="C45" t="s">
        <v>47</v>
      </c>
      <c r="D45" t="s">
        <v>9</v>
      </c>
      <c r="E45" t="s">
        <v>8</v>
      </c>
      <c r="F45" t="s">
        <v>66</v>
      </c>
      <c r="G45" t="s">
        <v>65</v>
      </c>
      <c r="I45" t="str">
        <f t="shared" si="0"/>
        <v>"SFR_DETACHED_PRE_FORECLOSURE_NOTICE_OF_DEFAULT": "DOUBLE PRECISION",</v>
      </c>
    </row>
    <row r="46" spans="2:9">
      <c r="B46" s="1" t="s">
        <v>8</v>
      </c>
      <c r="C46" t="s">
        <v>48</v>
      </c>
      <c r="D46" t="s">
        <v>9</v>
      </c>
      <c r="E46" t="s">
        <v>8</v>
      </c>
      <c r="F46" t="s">
        <v>66</v>
      </c>
      <c r="G46" t="s">
        <v>65</v>
      </c>
      <c r="I46" t="str">
        <f t="shared" si="0"/>
        <v>"SFR_DETACHED_PRE_FORECLOSURE_NOTICE_OF_FORECLOSURE": "DOUBLE PRECISION",</v>
      </c>
    </row>
    <row r="47" spans="2:9">
      <c r="B47" s="1" t="s">
        <v>8</v>
      </c>
      <c r="C47" t="s">
        <v>49</v>
      </c>
      <c r="D47" t="s">
        <v>9</v>
      </c>
      <c r="E47" t="s">
        <v>8</v>
      </c>
      <c r="F47" t="s">
        <v>66</v>
      </c>
      <c r="G47" t="s">
        <v>65</v>
      </c>
      <c r="I47" t="str">
        <f t="shared" si="0"/>
        <v>"SFR_DETACHED_PRE_FORECLOSURE_NOTICE_OF_SALE": "DOUBLE PRECISION",</v>
      </c>
    </row>
    <row r="48" spans="2:9">
      <c r="B48" s="1" t="s">
        <v>8</v>
      </c>
      <c r="C48" t="s">
        <v>50</v>
      </c>
      <c r="D48" t="s">
        <v>9</v>
      </c>
      <c r="E48" t="s">
        <v>8</v>
      </c>
      <c r="F48" t="s">
        <v>66</v>
      </c>
      <c r="G48" t="s">
        <v>65</v>
      </c>
      <c r="I48" t="str">
        <f t="shared" si="0"/>
        <v>"SFR_DETACHED_PRE_FORECLOSURE_NOTICE_OF_TRUSTEES_SALE": "DOUBLE PRECISION",</v>
      </c>
    </row>
    <row r="49" spans="2:9">
      <c r="B49" s="1" t="s">
        <v>8</v>
      </c>
      <c r="C49" t="s">
        <v>51</v>
      </c>
      <c r="D49" t="s">
        <v>9</v>
      </c>
      <c r="E49" t="s">
        <v>8</v>
      </c>
      <c r="F49" t="s">
        <v>66</v>
      </c>
      <c r="G49" t="s">
        <v>65</v>
      </c>
      <c r="I49" t="str">
        <f t="shared" si="0"/>
        <v>"SFR_DETACHED_PRE_FORECLOSURE_LIS_PENDENS": "DOUBLE PRECISION",</v>
      </c>
    </row>
    <row r="50" spans="2:9">
      <c r="B50" s="1" t="s">
        <v>8</v>
      </c>
      <c r="C50" t="s">
        <v>52</v>
      </c>
      <c r="D50" t="s">
        <v>9</v>
      </c>
      <c r="E50" t="s">
        <v>8</v>
      </c>
      <c r="F50" t="s">
        <v>66</v>
      </c>
      <c r="G50" t="s">
        <v>65</v>
      </c>
      <c r="I50" t="str">
        <f t="shared" si="0"/>
        <v>"SFR_DETACHED_PRE_FORECLOSURE_FINAL_JUDGEMENT": "DOUBLE PRECISION",</v>
      </c>
    </row>
    <row r="51" spans="2:9">
      <c r="B51" s="1" t="s">
        <v>8</v>
      </c>
      <c r="C51" t="s">
        <v>53</v>
      </c>
      <c r="D51" t="s">
        <v>9</v>
      </c>
      <c r="E51" t="s">
        <v>8</v>
      </c>
      <c r="F51" t="s">
        <v>66</v>
      </c>
      <c r="G51" t="s">
        <v>65</v>
      </c>
      <c r="I51" t="str">
        <f t="shared" si="0"/>
        <v>"SFR_DETACHED_PRE_FORECLOSURE_OTHER": "DOUBLE PRECISION",</v>
      </c>
    </row>
    <row r="52" spans="2:9">
      <c r="B52" s="1" t="s">
        <v>8</v>
      </c>
      <c r="C52" t="s">
        <v>54</v>
      </c>
      <c r="D52" t="s">
        <v>9</v>
      </c>
      <c r="E52" t="s">
        <v>8</v>
      </c>
      <c r="F52" t="s">
        <v>66</v>
      </c>
      <c r="G52" t="s">
        <v>65</v>
      </c>
      <c r="I52" t="str">
        <f t="shared" si="0"/>
        <v>"MULTI_FAMILY_FORECLOSURE_TOTAL_FILINGS": "DOUBLE PRECISION",</v>
      </c>
    </row>
    <row r="53" spans="2:9">
      <c r="B53" s="1" t="s">
        <v>8</v>
      </c>
      <c r="C53" t="s">
        <v>55</v>
      </c>
      <c r="D53" t="s">
        <v>9</v>
      </c>
      <c r="E53" t="s">
        <v>8</v>
      </c>
      <c r="F53" t="s">
        <v>66</v>
      </c>
      <c r="G53" t="s">
        <v>65</v>
      </c>
      <c r="I53" t="str">
        <f t="shared" si="0"/>
        <v>"MULTI_FAMILY_FORECLOSURE_TRUSTEES_DEED": "DOUBLE PRECISION",</v>
      </c>
    </row>
    <row r="54" spans="2:9">
      <c r="B54" s="1" t="s">
        <v>8</v>
      </c>
      <c r="C54" t="s">
        <v>56</v>
      </c>
      <c r="D54" t="s">
        <v>9</v>
      </c>
      <c r="E54" t="s">
        <v>8</v>
      </c>
      <c r="F54" t="s">
        <v>66</v>
      </c>
      <c r="G54" t="s">
        <v>65</v>
      </c>
      <c r="I54" t="str">
        <f t="shared" si="0"/>
        <v>"MULTI_FAMILY_FORECLOSURE_OTHER": "DOUBLE PRECISION",</v>
      </c>
    </row>
    <row r="55" spans="2:9">
      <c r="B55" s="1" t="s">
        <v>8</v>
      </c>
      <c r="C55" t="s">
        <v>57</v>
      </c>
      <c r="D55" t="s">
        <v>9</v>
      </c>
      <c r="E55" t="s">
        <v>8</v>
      </c>
      <c r="F55" t="s">
        <v>66</v>
      </c>
      <c r="G55" t="s">
        <v>65</v>
      </c>
      <c r="I55" t="str">
        <f t="shared" si="0"/>
        <v>"MULTI_FAMILY_PRE_FORCLOSURE_TOTAL_FILINGS": "DOUBLE PRECISION",</v>
      </c>
    </row>
    <row r="56" spans="2:9">
      <c r="B56" s="1" t="s">
        <v>8</v>
      </c>
      <c r="C56" t="s">
        <v>58</v>
      </c>
      <c r="D56" t="s">
        <v>9</v>
      </c>
      <c r="E56" t="s">
        <v>8</v>
      </c>
      <c r="F56" t="s">
        <v>66</v>
      </c>
      <c r="G56" t="s">
        <v>65</v>
      </c>
      <c r="I56" t="str">
        <f t="shared" si="0"/>
        <v>"MULTI_FAMILY_PRE_FORECLOSURE_NOTICE_OF_DEFAULT": "DOUBLE PRECISION",</v>
      </c>
    </row>
    <row r="57" spans="2:9">
      <c r="B57" s="1" t="s">
        <v>8</v>
      </c>
      <c r="C57" t="s">
        <v>59</v>
      </c>
      <c r="D57" t="s">
        <v>9</v>
      </c>
      <c r="E57" t="s">
        <v>8</v>
      </c>
      <c r="F57" t="s">
        <v>66</v>
      </c>
      <c r="G57" t="s">
        <v>65</v>
      </c>
      <c r="I57" t="str">
        <f t="shared" si="0"/>
        <v>"MULTI_FAMILY_PRE_FORECLOSURE_NOTICE_OF_FORECLOSURE": "DOUBLE PRECISION",</v>
      </c>
    </row>
    <row r="58" spans="2:9">
      <c r="B58" s="1" t="s">
        <v>8</v>
      </c>
      <c r="C58" t="s">
        <v>60</v>
      </c>
      <c r="D58" t="s">
        <v>9</v>
      </c>
      <c r="E58" t="s">
        <v>8</v>
      </c>
      <c r="F58" t="s">
        <v>66</v>
      </c>
      <c r="G58" t="s">
        <v>65</v>
      </c>
      <c r="I58" t="str">
        <f t="shared" si="0"/>
        <v>"MULTI_FAMILY_PRE_FORECLOSURE_NOTICE_OF_SALE": "DOUBLE PRECISION",</v>
      </c>
    </row>
    <row r="59" spans="2:9">
      <c r="B59" s="1" t="s">
        <v>8</v>
      </c>
      <c r="C59" t="s">
        <v>61</v>
      </c>
      <c r="D59" t="s">
        <v>9</v>
      </c>
      <c r="E59" t="s">
        <v>8</v>
      </c>
      <c r="F59" t="s">
        <v>66</v>
      </c>
      <c r="G59" t="s">
        <v>65</v>
      </c>
      <c r="I59" t="str">
        <f t="shared" si="0"/>
        <v>"MULTI_FAMILY_PRE_FORECLOSURE_NOTICE_OF_TRUSTEES_SALE": "DOUBLE PRECISION",</v>
      </c>
    </row>
    <row r="60" spans="2:9">
      <c r="B60" s="1" t="s">
        <v>8</v>
      </c>
      <c r="C60" t="s">
        <v>62</v>
      </c>
      <c r="D60" t="s">
        <v>9</v>
      </c>
      <c r="E60" t="s">
        <v>8</v>
      </c>
      <c r="F60" t="s">
        <v>66</v>
      </c>
      <c r="G60" t="s">
        <v>65</v>
      </c>
      <c r="I60" t="str">
        <f t="shared" si="0"/>
        <v>"MULTI_FAMILY_PRE_FORECLOSURE_LIS_PENDENS": "DOUBLE PRECISION",</v>
      </c>
    </row>
    <row r="61" spans="2:9">
      <c r="B61" s="1" t="s">
        <v>8</v>
      </c>
      <c r="C61" t="s">
        <v>63</v>
      </c>
      <c r="D61" t="s">
        <v>9</v>
      </c>
      <c r="E61" t="s">
        <v>8</v>
      </c>
      <c r="F61" t="s">
        <v>66</v>
      </c>
      <c r="G61" t="s">
        <v>65</v>
      </c>
      <c r="I61" t="str">
        <f t="shared" si="0"/>
        <v>"MULTI_FAMILY_PRE_FORECLOSURE_FINAL_JUDGEMENT": "DOUBLE PRECISION",</v>
      </c>
    </row>
    <row r="62" spans="2:9">
      <c r="B62" s="1" t="s">
        <v>8</v>
      </c>
      <c r="C62" t="s">
        <v>64</v>
      </c>
      <c r="D62" t="s">
        <v>9</v>
      </c>
      <c r="E62" t="s">
        <v>8</v>
      </c>
      <c r="F62" t="s">
        <v>66</v>
      </c>
      <c r="G62" t="s">
        <v>8</v>
      </c>
      <c r="I62" t="str">
        <f t="shared" si="0"/>
        <v>"MULTI_FAMILY_PRE_FORECLOSURE_OTHER": "DOUBLE PRECISION"</v>
      </c>
    </row>
  </sheetData>
  <autoFilter ref="B1:I62" xr:uid="{20E2666E-5188-40D8-AB42-C496898EBDE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Postgres Query Construct</vt:lpstr>
      <vt:lpstr>PostGres Mapping</vt:lpstr>
      <vt:lpstr>HSA mapping</vt:lpstr>
      <vt:lpstr>FCL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Alan</dc:creator>
  <cp:lastModifiedBy>Li, Alan</cp:lastModifiedBy>
  <dcterms:created xsi:type="dcterms:W3CDTF">2025-10-21T17:16:41Z</dcterms:created>
  <dcterms:modified xsi:type="dcterms:W3CDTF">2025-11-25T17:43:12Z</dcterms:modified>
</cp:coreProperties>
</file>